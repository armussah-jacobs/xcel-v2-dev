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drawings/drawing10.xml" ContentType="application/vnd.openxmlformats-officedocument.drawing+xml"/>
  <Override PartName="/xl/tables/table7.xml" ContentType="application/vnd.openxmlformats-officedocument.spreadsheetml.table+xml"/>
  <Override PartName="/xl/drawings/drawing11.xml" ContentType="application/vnd.openxmlformats-officedocument.drawing+xml"/>
  <Override PartName="/xl/tables/table8.xml" ContentType="application/vnd.openxmlformats-officedocument.spreadsheetml.table+xml"/>
  <Override PartName="/xl/drawings/drawing12.xml" ContentType="application/vnd.openxmlformats-officedocument.drawing+xml"/>
  <Override PartName="/xl/tables/table9.xml" ContentType="application/vnd.openxmlformats-officedocument.spreadsheetml.table+xml"/>
  <Override PartName="/xl/drawings/drawing13.xml" ContentType="application/vnd.openxmlformats-officedocument.drawing+xml"/>
  <Override PartName="/xl/tables/table10.xml" ContentType="application/vnd.openxmlformats-officedocument.spreadsheetml.table+xml"/>
  <Override PartName="/xl/drawings/drawing14.xml" ContentType="application/vnd.openxmlformats-officedocument.drawing+xml"/>
  <Override PartName="/xl/tables/table11.xml" ContentType="application/vnd.openxmlformats-officedocument.spreadsheetml.table+xml"/>
  <Override PartName="/xl/drawings/drawing15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elshth\Desktop\RPM Xcel Finalization\"/>
    </mc:Choice>
  </mc:AlternateContent>
  <xr:revisionPtr revIDLastSave="0" documentId="8_{8A352F24-D3A6-460A-9B90-9DBEFBF77D36}" xr6:coauthVersionLast="47" xr6:coauthVersionMax="47" xr10:uidLastSave="{00000000-0000-0000-0000-000000000000}"/>
  <bookViews>
    <workbookView xWindow="36060" yWindow="1812" windowWidth="21624" windowHeight="12792" tabRatio="855" activeTab="1" xr2:uid="{1E97EC36-B87D-4C7E-A109-4997B41BAFED}"/>
  </bookViews>
  <sheets>
    <sheet name="Instructions" sheetId="36" r:id="rId1"/>
    <sheet name="Projects" sheetId="21" r:id="rId2"/>
    <sheet name="Duration Table" sheetId="3" r:id="rId3"/>
    <sheet name="Program Resources" sheetId="20" r:id="rId4"/>
    <sheet name="Transmission and Distribution" sheetId="10" r:id="rId5"/>
    <sheet name="Substation" sheetId="9" r:id="rId6"/>
    <sheet name="Thermal" sheetId="13" r:id="rId7"/>
    <sheet name="Gas" sheetId="8" r:id="rId8"/>
    <sheet name="Wind" sheetId="14" r:id="rId9"/>
    <sheet name="Hydro" sheetId="12" r:id="rId10"/>
    <sheet name="Biomass" sheetId="11" r:id="rId11"/>
    <sheet name="Solar" sheetId="15" r:id="rId12"/>
    <sheet name="BESS" sheetId="18" r:id="rId13"/>
    <sheet name="New Archetype 1" sheetId="34" r:id="rId14"/>
    <sheet name="New Archetype 2" sheetId="35" r:id="rId15"/>
    <sheet name="Projects Adjusted" sheetId="26" state="hidden" r:id="rId16"/>
    <sheet name="All Resource Bases" sheetId="30" state="hidden" r:id="rId17"/>
    <sheet name="All Program Resources" sheetId="33" state="hidden" r:id="rId18"/>
  </sheets>
  <definedNames>
    <definedName name="_xlnm._FilterDatabase" localSheetId="1" hidden="1">Projects!$A$10:$K$51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6" l="1"/>
  <c r="H23" i="26"/>
  <c r="H24" i="26"/>
  <c r="H25" i="26"/>
  <c r="H26" i="26"/>
  <c r="H30" i="26"/>
  <c r="H33" i="26"/>
  <c r="H34" i="26"/>
  <c r="H39" i="26"/>
  <c r="H42" i="26"/>
  <c r="H21" i="26"/>
  <c r="H29" i="26"/>
  <c r="H31" i="26"/>
  <c r="H41" i="26"/>
  <c r="A3" i="26"/>
  <c r="B3" i="26"/>
  <c r="C3" i="26"/>
  <c r="D3" i="26"/>
  <c r="E3" i="26"/>
  <c r="F3" i="26"/>
  <c r="G3" i="26"/>
  <c r="H3" i="26"/>
  <c r="I3" i="26"/>
  <c r="J3" i="26"/>
  <c r="K3" i="26"/>
  <c r="L3" i="26"/>
  <c r="P3" i="26" s="1" a="1"/>
  <c r="A4" i="26"/>
  <c r="B4" i="26"/>
  <c r="C4" i="26"/>
  <c r="D4" i="26"/>
  <c r="E4" i="26"/>
  <c r="F4" i="26"/>
  <c r="G4" i="26"/>
  <c r="H4" i="26"/>
  <c r="I4" i="26"/>
  <c r="J4" i="26"/>
  <c r="K4" i="26"/>
  <c r="L4" i="26"/>
  <c r="A5" i="26"/>
  <c r="B5" i="26"/>
  <c r="C5" i="26"/>
  <c r="D5" i="26"/>
  <c r="E5" i="26"/>
  <c r="F5" i="26"/>
  <c r="G5" i="26"/>
  <c r="I5" i="26"/>
  <c r="J5" i="26"/>
  <c r="K5" i="26"/>
  <c r="L5" i="26"/>
  <c r="A6" i="26"/>
  <c r="B6" i="26"/>
  <c r="C6" i="26"/>
  <c r="D6" i="26"/>
  <c r="E6" i="26"/>
  <c r="F6" i="26"/>
  <c r="G6" i="26"/>
  <c r="H6" i="26"/>
  <c r="I6" i="26"/>
  <c r="J6" i="26"/>
  <c r="K6" i="26"/>
  <c r="L6" i="26"/>
  <c r="A7" i="26"/>
  <c r="B7" i="26"/>
  <c r="C7" i="26"/>
  <c r="D7" i="26"/>
  <c r="E7" i="26"/>
  <c r="F7" i="26"/>
  <c r="G7" i="26"/>
  <c r="I7" i="26"/>
  <c r="J7" i="26"/>
  <c r="K7" i="26"/>
  <c r="L7" i="26"/>
  <c r="A8" i="26"/>
  <c r="B8" i="26"/>
  <c r="C8" i="26"/>
  <c r="D8" i="26"/>
  <c r="E8" i="26"/>
  <c r="F8" i="26"/>
  <c r="G8" i="26"/>
  <c r="I8" i="26"/>
  <c r="J8" i="26"/>
  <c r="K8" i="26"/>
  <c r="L8" i="26"/>
  <c r="A9" i="26"/>
  <c r="B9" i="26"/>
  <c r="C9" i="26"/>
  <c r="D9" i="26"/>
  <c r="E9" i="26"/>
  <c r="F9" i="26"/>
  <c r="G9" i="26"/>
  <c r="I9" i="26"/>
  <c r="J9" i="26"/>
  <c r="K9" i="26"/>
  <c r="L9" i="26"/>
  <c r="A10" i="26"/>
  <c r="B10" i="26"/>
  <c r="C10" i="26"/>
  <c r="D10" i="26"/>
  <c r="E10" i="26"/>
  <c r="F10" i="26"/>
  <c r="G10" i="26"/>
  <c r="I10" i="26"/>
  <c r="J10" i="26"/>
  <c r="K10" i="26"/>
  <c r="L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N12" i="26" a="1"/>
  <c r="A13" i="26"/>
  <c r="B13" i="26"/>
  <c r="C13" i="26"/>
  <c r="D13" i="26"/>
  <c r="E13" i="26"/>
  <c r="F13" i="26"/>
  <c r="G13" i="26"/>
  <c r="H13" i="26"/>
  <c r="I13" i="26"/>
  <c r="J13" i="26"/>
  <c r="K13" i="26"/>
  <c r="L13" i="26"/>
  <c r="A14" i="26"/>
  <c r="B14" i="26"/>
  <c r="C14" i="26"/>
  <c r="D14" i="26"/>
  <c r="E14" i="26"/>
  <c r="F14" i="26"/>
  <c r="G14" i="26"/>
  <c r="I14" i="26"/>
  <c r="J14" i="26"/>
  <c r="K14" i="26"/>
  <c r="L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A16" i="26"/>
  <c r="B16" i="26"/>
  <c r="C16" i="26"/>
  <c r="D16" i="26"/>
  <c r="E16" i="26"/>
  <c r="F16" i="26"/>
  <c r="G16" i="26"/>
  <c r="I16" i="26"/>
  <c r="J16" i="26"/>
  <c r="K16" i="26"/>
  <c r="L16" i="26"/>
  <c r="A17" i="26"/>
  <c r="B17" i="26"/>
  <c r="C17" i="26"/>
  <c r="D17" i="26"/>
  <c r="E17" i="26"/>
  <c r="F17" i="26"/>
  <c r="G17" i="26"/>
  <c r="I17" i="26"/>
  <c r="J17" i="26"/>
  <c r="K17" i="26"/>
  <c r="L17" i="26"/>
  <c r="A18" i="26"/>
  <c r="B18" i="26"/>
  <c r="C18" i="26"/>
  <c r="D18" i="26"/>
  <c r="E18" i="26"/>
  <c r="F18" i="26"/>
  <c r="G18" i="26"/>
  <c r="I18" i="26"/>
  <c r="J18" i="26"/>
  <c r="K18" i="26"/>
  <c r="L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A21" i="26"/>
  <c r="B21" i="26"/>
  <c r="C21" i="26"/>
  <c r="D21" i="26"/>
  <c r="E21" i="26"/>
  <c r="F21" i="26"/>
  <c r="G21" i="26"/>
  <c r="I21" i="26"/>
  <c r="J21" i="26"/>
  <c r="K21" i="26"/>
  <c r="L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A23" i="26"/>
  <c r="B23" i="26"/>
  <c r="C23" i="26"/>
  <c r="D23" i="26"/>
  <c r="E23" i="26"/>
  <c r="F23" i="26"/>
  <c r="G23" i="26"/>
  <c r="I23" i="26"/>
  <c r="J23" i="26"/>
  <c r="K23" i="26"/>
  <c r="L23" i="26"/>
  <c r="A24" i="26"/>
  <c r="B24" i="26"/>
  <c r="C24" i="26"/>
  <c r="D24" i="26"/>
  <c r="E24" i="26"/>
  <c r="F24" i="26"/>
  <c r="G24" i="26"/>
  <c r="I24" i="26"/>
  <c r="J24" i="26"/>
  <c r="K24" i="26"/>
  <c r="L24" i="26"/>
  <c r="A25" i="26"/>
  <c r="B25" i="26"/>
  <c r="C25" i="26"/>
  <c r="D25" i="26"/>
  <c r="E25" i="26"/>
  <c r="F25" i="26"/>
  <c r="G25" i="26"/>
  <c r="I25" i="26"/>
  <c r="J25" i="26"/>
  <c r="K25" i="26"/>
  <c r="L25" i="26"/>
  <c r="A26" i="26"/>
  <c r="B26" i="26"/>
  <c r="C26" i="26"/>
  <c r="D26" i="26"/>
  <c r="E26" i="26"/>
  <c r="F26" i="26"/>
  <c r="G26" i="26"/>
  <c r="I26" i="26"/>
  <c r="J26" i="26"/>
  <c r="K26" i="26"/>
  <c r="L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A29" i="26"/>
  <c r="B29" i="26"/>
  <c r="C29" i="26"/>
  <c r="D29" i="26"/>
  <c r="E29" i="26"/>
  <c r="F29" i="26"/>
  <c r="G29" i="26"/>
  <c r="I29" i="26"/>
  <c r="J29" i="26"/>
  <c r="K29" i="26"/>
  <c r="L29" i="26"/>
  <c r="A30" i="26"/>
  <c r="B30" i="26"/>
  <c r="C30" i="26"/>
  <c r="D30" i="26"/>
  <c r="E30" i="26"/>
  <c r="F30" i="26"/>
  <c r="G30" i="26"/>
  <c r="I30" i="26"/>
  <c r="J30" i="26"/>
  <c r="K30" i="26"/>
  <c r="L30" i="26"/>
  <c r="A31" i="26"/>
  <c r="B31" i="26"/>
  <c r="C31" i="26"/>
  <c r="D31" i="26"/>
  <c r="E31" i="26"/>
  <c r="F31" i="26"/>
  <c r="G31" i="26"/>
  <c r="I31" i="26"/>
  <c r="J31" i="26"/>
  <c r="K31" i="26"/>
  <c r="L31" i="26"/>
  <c r="A32" i="26"/>
  <c r="B32" i="26"/>
  <c r="C32" i="26"/>
  <c r="D32" i="26"/>
  <c r="E32" i="26"/>
  <c r="F32" i="26"/>
  <c r="G32" i="26"/>
  <c r="I32" i="26"/>
  <c r="J32" i="26"/>
  <c r="K32" i="26"/>
  <c r="L32" i="26"/>
  <c r="A33" i="26"/>
  <c r="B33" i="26"/>
  <c r="C33" i="26"/>
  <c r="D33" i="26"/>
  <c r="E33" i="26"/>
  <c r="F33" i="26"/>
  <c r="G33" i="26"/>
  <c r="I33" i="26"/>
  <c r="J33" i="26"/>
  <c r="K33" i="26"/>
  <c r="L33" i="26"/>
  <c r="A34" i="26"/>
  <c r="B34" i="26"/>
  <c r="C34" i="26"/>
  <c r="D34" i="26"/>
  <c r="E34" i="26"/>
  <c r="F34" i="26"/>
  <c r="G34" i="26"/>
  <c r="I34" i="26"/>
  <c r="J34" i="26"/>
  <c r="K34" i="26"/>
  <c r="L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A39" i="26"/>
  <c r="B39" i="26"/>
  <c r="C39" i="26"/>
  <c r="D39" i="26"/>
  <c r="E39" i="26"/>
  <c r="F39" i="26"/>
  <c r="G39" i="26"/>
  <c r="I39" i="26"/>
  <c r="J39" i="26"/>
  <c r="K39" i="26"/>
  <c r="L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A41" i="26"/>
  <c r="B41" i="26"/>
  <c r="C41" i="26"/>
  <c r="D41" i="26"/>
  <c r="E41" i="26"/>
  <c r="F41" i="26"/>
  <c r="G41" i="26"/>
  <c r="I41" i="26"/>
  <c r="J41" i="26"/>
  <c r="K41" i="26"/>
  <c r="L41" i="26"/>
  <c r="A42" i="26"/>
  <c r="B42" i="26"/>
  <c r="C42" i="26"/>
  <c r="D42" i="26"/>
  <c r="E42" i="26"/>
  <c r="F42" i="26"/>
  <c r="G42" i="26"/>
  <c r="I42" i="26"/>
  <c r="J42" i="26"/>
  <c r="K42" i="26"/>
  <c r="L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A45" i="26"/>
  <c r="B45" i="26"/>
  <c r="C45" i="26"/>
  <c r="D45" i="26"/>
  <c r="E45" i="26"/>
  <c r="F45" i="26"/>
  <c r="G45" i="26"/>
  <c r="H45" i="26"/>
  <c r="I45" i="26"/>
  <c r="J45" i="26"/>
  <c r="K45" i="26"/>
  <c r="P45" i="26" s="1" a="1"/>
  <c r="L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O46" i="26" a="1"/>
  <c r="A47" i="26"/>
  <c r="B47" i="26"/>
  <c r="C47" i="26"/>
  <c r="D47" i="26"/>
  <c r="E47" i="26"/>
  <c r="F47" i="26"/>
  <c r="G47" i="26"/>
  <c r="H47" i="26"/>
  <c r="I47" i="26"/>
  <c r="J47" i="26"/>
  <c r="K47" i="26"/>
  <c r="L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N49" i="26" a="1"/>
  <c r="A50" i="26"/>
  <c r="B50" i="26"/>
  <c r="C50" i="26"/>
  <c r="D50" i="26"/>
  <c r="E50" i="26"/>
  <c r="F50" i="26"/>
  <c r="G50" i="26"/>
  <c r="H50" i="26"/>
  <c r="I50" i="26"/>
  <c r="J50" i="26"/>
  <c r="K50" i="26"/>
  <c r="L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P54" i="26" a="1"/>
  <c r="A55" i="26"/>
  <c r="B55" i="26"/>
  <c r="C55" i="26"/>
  <c r="D55" i="26"/>
  <c r="E55" i="26"/>
  <c r="F55" i="26"/>
  <c r="G55" i="26"/>
  <c r="H55" i="26"/>
  <c r="I55" i="26"/>
  <c r="J55" i="26"/>
  <c r="K55" i="26"/>
  <c r="L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O58" i="26" a="1"/>
  <c r="A59" i="26"/>
  <c r="B59" i="26"/>
  <c r="C59" i="26"/>
  <c r="D59" i="26"/>
  <c r="E59" i="26"/>
  <c r="F59" i="26"/>
  <c r="G59" i="26"/>
  <c r="H59" i="26"/>
  <c r="I59" i="26"/>
  <c r="J59" i="26"/>
  <c r="K59" i="26"/>
  <c r="L59" i="26"/>
  <c r="P59" i="26" a="1"/>
  <c r="Q59" i="26" s="1" a="1"/>
  <c r="A60" i="26"/>
  <c r="B60" i="26"/>
  <c r="C60" i="26"/>
  <c r="D60" i="26"/>
  <c r="E60" i="26"/>
  <c r="F60" i="26"/>
  <c r="G60" i="26"/>
  <c r="H60" i="26"/>
  <c r="I60" i="26"/>
  <c r="J60" i="26"/>
  <c r="K60" i="26"/>
  <c r="L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P63" i="26" s="1" a="1"/>
  <c r="A64" i="26"/>
  <c r="B64" i="26"/>
  <c r="C64" i="26"/>
  <c r="D64" i="26"/>
  <c r="E64" i="26"/>
  <c r="F64" i="26"/>
  <c r="G64" i="26"/>
  <c r="H64" i="26"/>
  <c r="I64" i="26"/>
  <c r="J64" i="26"/>
  <c r="K64" i="26"/>
  <c r="L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P67" i="26" a="1"/>
  <c r="A68" i="26"/>
  <c r="B68" i="26"/>
  <c r="C68" i="26"/>
  <c r="D68" i="26"/>
  <c r="E68" i="26"/>
  <c r="F68" i="26"/>
  <c r="G68" i="26"/>
  <c r="H68" i="26"/>
  <c r="I68" i="26"/>
  <c r="J68" i="26"/>
  <c r="K68" i="26"/>
  <c r="L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O69" i="26" a="1"/>
  <c r="A70" i="26"/>
  <c r="B70" i="26"/>
  <c r="C70" i="26"/>
  <c r="D70" i="26"/>
  <c r="E70" i="26"/>
  <c r="F70" i="26"/>
  <c r="G70" i="26"/>
  <c r="H70" i="26"/>
  <c r="I70" i="26"/>
  <c r="J70" i="26"/>
  <c r="K70" i="26"/>
  <c r="L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O71" i="26" a="1"/>
  <c r="A72" i="26"/>
  <c r="B72" i="26"/>
  <c r="C72" i="26"/>
  <c r="D72" i="26"/>
  <c r="E72" i="26"/>
  <c r="F72" i="26"/>
  <c r="G72" i="26"/>
  <c r="H72" i="26"/>
  <c r="I72" i="26"/>
  <c r="J72" i="26"/>
  <c r="K72" i="26"/>
  <c r="L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O74" i="26" a="1"/>
  <c r="A75" i="26"/>
  <c r="B75" i="26"/>
  <c r="C75" i="26"/>
  <c r="D75" i="26"/>
  <c r="E75" i="26"/>
  <c r="F75" i="26"/>
  <c r="G75" i="26"/>
  <c r="H75" i="26"/>
  <c r="I75" i="26"/>
  <c r="J75" i="26"/>
  <c r="K75" i="26"/>
  <c r="L75" i="26"/>
  <c r="P75" i="26" s="1" a="1"/>
  <c r="A76" i="26"/>
  <c r="B76" i="26"/>
  <c r="C76" i="26"/>
  <c r="D76" i="26"/>
  <c r="E76" i="26"/>
  <c r="F76" i="26"/>
  <c r="G76" i="26"/>
  <c r="H76" i="26"/>
  <c r="I76" i="26"/>
  <c r="J76" i="26"/>
  <c r="K76" i="26"/>
  <c r="L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N79" i="26" a="1"/>
  <c r="A80" i="26"/>
  <c r="B80" i="26"/>
  <c r="C80" i="26"/>
  <c r="D80" i="26"/>
  <c r="E80" i="26"/>
  <c r="F80" i="26"/>
  <c r="G80" i="26"/>
  <c r="H80" i="26"/>
  <c r="I80" i="26"/>
  <c r="J80" i="26"/>
  <c r="K80" i="26"/>
  <c r="L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P89" i="26" a="1"/>
  <c r="A90" i="26"/>
  <c r="B90" i="26"/>
  <c r="C90" i="26"/>
  <c r="D90" i="26"/>
  <c r="E90" i="26"/>
  <c r="F90" i="26"/>
  <c r="G90" i="26"/>
  <c r="H90" i="26"/>
  <c r="I90" i="26"/>
  <c r="J90" i="26"/>
  <c r="K90" i="26"/>
  <c r="L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O91" i="26" s="1" a="1"/>
  <c r="A92" i="26"/>
  <c r="B92" i="26"/>
  <c r="C92" i="26"/>
  <c r="D92" i="26"/>
  <c r="E92" i="26"/>
  <c r="F92" i="26"/>
  <c r="G92" i="26"/>
  <c r="H92" i="26"/>
  <c r="I92" i="26"/>
  <c r="J92" i="26"/>
  <c r="K92" i="26"/>
  <c r="L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N122" i="26" s="1" a="1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N229" i="26" a="1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O49" i="26" l="1" a="1"/>
  <c r="P216" i="26" a="1"/>
  <c r="P220" i="26" a="1"/>
  <c r="P57" i="26" a="1"/>
  <c r="H5" i="26"/>
  <c r="H8" i="26"/>
  <c r="H9" i="26"/>
  <c r="H10" i="26"/>
  <c r="H14" i="26"/>
  <c r="H16" i="26"/>
  <c r="H7" i="26"/>
  <c r="H17" i="26"/>
  <c r="H32" i="26"/>
  <c r="P119" i="26" a="1"/>
  <c r="O52" i="26" a="1"/>
  <c r="O22" i="26" a="1"/>
  <c r="O44" i="26" a="1"/>
  <c r="O53" i="26" a="1"/>
  <c r="O56" i="26" a="1"/>
  <c r="P61" i="26" a="1"/>
  <c r="P255" i="26" a="1"/>
  <c r="O227" i="26" a="1"/>
  <c r="N48" i="26" a="1"/>
  <c r="M48" i="26" s="1" a="1"/>
  <c r="P240" i="26" a="1"/>
  <c r="N151" i="26" a="1"/>
  <c r="O195" i="26" a="1"/>
  <c r="N205" i="26" a="1"/>
  <c r="N221" i="26" a="1"/>
  <c r="O257" i="26" a="1"/>
  <c r="N22" i="26" a="1"/>
  <c r="M22" i="26" s="1" a="1"/>
  <c r="N39" i="26" a="1"/>
  <c r="M39" i="26" s="1" a="1"/>
  <c r="N37" i="26" a="1"/>
  <c r="N38" i="26" a="1"/>
  <c r="M38" i="26" s="1" a="1"/>
  <c r="N45" i="26" a="1"/>
  <c r="N54" i="26" a="1"/>
  <c r="M54" i="26" s="1" a="1"/>
  <c r="O8" i="26" a="1"/>
  <c r="P34" i="26" a="1"/>
  <c r="N41" i="26" a="1"/>
  <c r="O40" i="26" a="1"/>
  <c r="N56" i="26" a="1"/>
  <c r="N57" i="26" a="1"/>
  <c r="N107" i="26" a="1"/>
  <c r="P60" i="26" a="1"/>
  <c r="N61" i="26" a="1"/>
  <c r="O62" i="26" a="1"/>
  <c r="P62" i="26" a="1"/>
  <c r="P64" i="26" a="1"/>
  <c r="O65" i="26" a="1"/>
  <c r="P66" i="26" a="1"/>
  <c r="O67" i="26" a="1"/>
  <c r="N68" i="26" a="1"/>
  <c r="M68" i="26" s="1" a="1"/>
  <c r="O70" i="26" a="1"/>
  <c r="P70" i="26" a="1"/>
  <c r="N71" i="26" a="1"/>
  <c r="P71" i="26" a="1"/>
  <c r="O72" i="26" a="1"/>
  <c r="P72" i="26" a="1"/>
  <c r="Q72" i="26" s="1" a="1"/>
  <c r="P73" i="26" a="1"/>
  <c r="N74" i="26" a="1"/>
  <c r="M74" i="26" s="1" a="1"/>
  <c r="O75" i="26" a="1"/>
  <c r="O76" i="26" a="1"/>
  <c r="P76" i="26" a="1"/>
  <c r="Q76" i="26" s="1" a="1"/>
  <c r="P77" i="26" a="1"/>
  <c r="O79" i="26" a="1"/>
  <c r="P79" i="26" a="1"/>
  <c r="O80" i="26" a="1"/>
  <c r="P80" i="26" a="1"/>
  <c r="N81" i="26" a="1"/>
  <c r="P81" i="26" a="1"/>
  <c r="Q81" i="26" s="1" a="1"/>
  <c r="N83" i="26" a="1"/>
  <c r="O88" i="26" a="1"/>
  <c r="O26" i="26" a="1"/>
  <c r="O3" i="26" a="1"/>
  <c r="N25" i="26" a="1"/>
  <c r="O6" i="26" a="1"/>
  <c r="P6" i="26" a="1"/>
  <c r="P11" i="26" a="1"/>
  <c r="O55" i="26" a="1"/>
  <c r="N58" i="26" a="1"/>
  <c r="M58" i="26" s="1" a="1"/>
  <c r="O96" i="26" a="1"/>
  <c r="O50" i="26" a="1"/>
  <c r="Q80" i="26" a="1"/>
  <c r="Q62" i="26" a="1"/>
  <c r="Q67" i="26" a="1"/>
  <c r="Q77" i="26" a="1"/>
  <c r="P16" i="26" a="1"/>
  <c r="Q16" i="26" s="1" a="1"/>
  <c r="N8" i="26" a="1"/>
  <c r="N16" i="26" a="1"/>
  <c r="M16" i="26" s="1" a="1"/>
  <c r="P40" i="26" a="1"/>
  <c r="Q40" i="26" s="1" a="1"/>
  <c r="O30" i="26" a="1"/>
  <c r="N40" i="26" a="1"/>
  <c r="M40" i="26" s="1" a="1"/>
  <c r="N36" i="26" a="1"/>
  <c r="M36" i="26" s="1" a="1"/>
  <c r="O24" i="26" a="1"/>
  <c r="N24" i="26" a="1"/>
  <c r="O23" i="26" a="1"/>
  <c r="P23" i="26" a="1"/>
  <c r="Q23" i="26" s="1" a="1"/>
  <c r="N23" i="26" a="1"/>
  <c r="M23" i="26" s="1" a="1"/>
  <c r="N42" i="26" a="1"/>
  <c r="M42" i="26" s="1" a="1"/>
  <c r="O42" i="26" a="1"/>
  <c r="N5" i="26" a="1"/>
  <c r="M5" i="26" s="1" a="1"/>
  <c r="P5" i="26" a="1"/>
  <c r="M24" i="26" a="1"/>
  <c r="P38" i="26" a="1"/>
  <c r="Q38" i="26" s="1" a="1"/>
  <c r="O34" i="26" a="1"/>
  <c r="N20" i="26" a="1"/>
  <c r="M20" i="26" s="1" a="1"/>
  <c r="N4" i="26" a="1"/>
  <c r="M4" i="26" s="1" a="1"/>
  <c r="Q34" i="26" a="1"/>
  <c r="P41" i="26" a="1"/>
  <c r="Q41" i="26" s="1" a="1"/>
  <c r="O38" i="26" a="1"/>
  <c r="O36" i="26" a="1"/>
  <c r="P25" i="26" a="1"/>
  <c r="Q25" i="26" s="1" a="1"/>
  <c r="P21" i="26" a="1"/>
  <c r="P22" i="26" a="1"/>
  <c r="Q22" i="26" s="1" a="1"/>
  <c r="O12" i="26" a="1"/>
  <c r="P18" i="26" a="1"/>
  <c r="Q18" i="26" s="1" a="1"/>
  <c r="M12" i="26" a="1"/>
  <c r="P9" i="26" a="1"/>
  <c r="P78" i="26" a="1"/>
  <c r="O78" i="26" a="1"/>
  <c r="N78" i="26" a="1"/>
  <c r="N75" i="26" a="1"/>
  <c r="M75" i="26" s="1" a="1"/>
  <c r="M81" i="26" a="1"/>
  <c r="Q73" i="26" a="1"/>
  <c r="O83" i="26" a="1"/>
  <c r="N82" i="26" a="1"/>
  <c r="M82" i="26" s="1" a="1"/>
  <c r="P65" i="26" a="1"/>
  <c r="Q65" i="26" s="1" a="1"/>
  <c r="O47" i="26" a="1"/>
  <c r="N47" i="26" a="1"/>
  <c r="M47" i="26" s="1" a="1"/>
  <c r="O43" i="26" a="1"/>
  <c r="N43" i="26" a="1"/>
  <c r="M43" i="26" s="1" a="1"/>
  <c r="O27" i="26" a="1"/>
  <c r="N27" i="26" a="1"/>
  <c r="M27" i="26" s="1" a="1"/>
  <c r="O13" i="26" a="1"/>
  <c r="P13" i="26" a="1"/>
  <c r="Q13" i="26" s="1" a="1"/>
  <c r="N76" i="26" a="1"/>
  <c r="M76" i="26" s="1" a="1"/>
  <c r="Q75" i="26" a="1"/>
  <c r="Q63" i="26" a="1"/>
  <c r="O54" i="26" a="1"/>
  <c r="M49" i="26" a="1"/>
  <c r="P37" i="26" a="1"/>
  <c r="Q37" i="26" s="1" a="1"/>
  <c r="P30" i="26" a="1"/>
  <c r="Q30" i="26" s="1" a="1"/>
  <c r="N29" i="26" a="1"/>
  <c r="M29" i="26" s="1" a="1"/>
  <c r="O17" i="26" a="1"/>
  <c r="P17" i="26" a="1"/>
  <c r="Q17" i="26" s="1" a="1"/>
  <c r="O15" i="26" a="1"/>
  <c r="N15" i="26" a="1"/>
  <c r="P10" i="26" a="1"/>
  <c r="Q10" i="26" s="1" a="1"/>
  <c r="O10" i="26" a="1"/>
  <c r="P50" i="26" a="1"/>
  <c r="Q50" i="26" s="1" a="1"/>
  <c r="O48" i="26" a="1"/>
  <c r="P47" i="26" a="1"/>
  <c r="O45" i="26" a="1"/>
  <c r="P43" i="26" a="1"/>
  <c r="O41" i="26" a="1"/>
  <c r="N35" i="26" a="1"/>
  <c r="M35" i="26" s="1" a="1"/>
  <c r="P33" i="26" a="1"/>
  <c r="Q33" i="26" s="1" a="1"/>
  <c r="P27" i="26" a="1"/>
  <c r="Q27" i="26" s="1" a="1"/>
  <c r="O68" i="26" a="1"/>
  <c r="N80" i="26" a="1"/>
  <c r="O73" i="26" a="1"/>
  <c r="O66" i="26" a="1"/>
  <c r="N65" i="26" a="1"/>
  <c r="M65" i="26" s="1" a="1"/>
  <c r="O64" i="26" a="1"/>
  <c r="P55" i="26" a="1"/>
  <c r="Q55" i="26" s="1" a="1"/>
  <c r="N52" i="26" a="1"/>
  <c r="M52" i="26" s="1" a="1"/>
  <c r="N44" i="26" a="1"/>
  <c r="P32" i="26" a="1"/>
  <c r="O31" i="26" a="1"/>
  <c r="N31" i="26" a="1"/>
  <c r="M31" i="26" s="1" a="1"/>
  <c r="P29" i="26" a="1"/>
  <c r="Q29" i="26" s="1" a="1"/>
  <c r="N28" i="26" a="1"/>
  <c r="M28" i="26" s="1" a="1"/>
  <c r="P15" i="26" a="1"/>
  <c r="Q15" i="26" s="1" a="1"/>
  <c r="N13" i="26" a="1"/>
  <c r="M13" i="26" s="1" a="1"/>
  <c r="O82" i="26" a="1"/>
  <c r="N67" i="26" a="1"/>
  <c r="M67" i="26" s="1" a="1"/>
  <c r="N66" i="26" a="1"/>
  <c r="M66" i="26" s="1" a="1"/>
  <c r="O63" i="26" a="1"/>
  <c r="N55" i="26" a="1"/>
  <c r="N53" i="26" a="1"/>
  <c r="N51" i="26" a="1"/>
  <c r="M51" i="26" s="1" a="1"/>
  <c r="P35" i="26" a="1"/>
  <c r="Q35" i="26" s="1" a="1"/>
  <c r="N32" i="26" a="1"/>
  <c r="M32" i="26" s="1" a="1"/>
  <c r="O32" i="26" a="1"/>
  <c r="O29" i="26" a="1"/>
  <c r="N70" i="26" a="1"/>
  <c r="M70" i="26" s="1" a="1"/>
  <c r="N64" i="26" a="1"/>
  <c r="M64" i="26" s="1" a="1"/>
  <c r="Q57" i="26" a="1"/>
  <c r="M55" i="26" a="1"/>
  <c r="P49" i="26" a="1"/>
  <c r="Q49" i="26" s="1" a="1"/>
  <c r="Q45" i="26" a="1"/>
  <c r="P42" i="26" a="1"/>
  <c r="Q42" i="26" s="1" a="1"/>
  <c r="P39" i="26" a="1"/>
  <c r="Q39" i="26" s="1" a="1"/>
  <c r="P31" i="26" a="1"/>
  <c r="Q31" i="26" s="1" a="1"/>
  <c r="P26" i="26" a="1"/>
  <c r="Q26" i="26" s="1" a="1"/>
  <c r="O25" i="26" a="1"/>
  <c r="N19" i="26" a="1"/>
  <c r="M19" i="26" s="1" a="1"/>
  <c r="O14" i="26" a="1"/>
  <c r="P14" i="26" a="1"/>
  <c r="Q14" i="26" s="1" a="1"/>
  <c r="M80" i="26" a="1"/>
  <c r="P74" i="26" a="1"/>
  <c r="Q74" i="26" s="1" a="1"/>
  <c r="P69" i="26" a="1"/>
  <c r="Q69" i="26" s="1" a="1"/>
  <c r="O61" i="26" a="1"/>
  <c r="O60" i="26" a="1"/>
  <c r="P58" i="26" a="1"/>
  <c r="Q58" i="26" s="1" a="1"/>
  <c r="P53" i="26" a="1"/>
  <c r="P51" i="26" a="1"/>
  <c r="Q51" i="26" s="1" a="1"/>
  <c r="N33" i="26" a="1"/>
  <c r="M33" i="26" s="1" a="1"/>
  <c r="N21" i="26" a="1"/>
  <c r="M21" i="26" s="1" a="1"/>
  <c r="O21" i="26" a="1"/>
  <c r="O11" i="26" a="1"/>
  <c r="N11" i="26" a="1"/>
  <c r="M11" i="26" s="1" a="1"/>
  <c r="N7" i="26" a="1"/>
  <c r="P7" i="26" a="1"/>
  <c r="Q7" i="26" s="1" a="1"/>
  <c r="P82" i="26" a="1"/>
  <c r="O77" i="26" a="1"/>
  <c r="N73" i="26" a="1"/>
  <c r="M73" i="26" s="1" a="1"/>
  <c r="P83" i="26" a="1"/>
  <c r="Q83" i="26" s="1" a="1"/>
  <c r="O81" i="26" a="1"/>
  <c r="M79" i="26" a="1"/>
  <c r="N77" i="26" a="1"/>
  <c r="M77" i="26" s="1" a="1"/>
  <c r="N72" i="26" a="1"/>
  <c r="M72" i="26" s="1" a="1"/>
  <c r="Q71" i="26" a="1"/>
  <c r="N69" i="26" a="1"/>
  <c r="M69" i="26" s="1" a="1"/>
  <c r="N63" i="26" a="1"/>
  <c r="N60" i="26" a="1"/>
  <c r="M60" i="26" s="1" a="1"/>
  <c r="O59" i="26" a="1"/>
  <c r="N59" i="26" a="1"/>
  <c r="M59" i="26" s="1" a="1"/>
  <c r="O57" i="26" a="1"/>
  <c r="Q54" i="26" a="1"/>
  <c r="P48" i="26" a="1"/>
  <c r="Q48" i="26" s="1" a="1"/>
  <c r="P46" i="26" a="1"/>
  <c r="Q46" i="26" s="1" a="1"/>
  <c r="P44" i="26" a="1"/>
  <c r="Q44" i="26" s="1" a="1"/>
  <c r="O37" i="26" a="1"/>
  <c r="O33" i="26" a="1"/>
  <c r="P28" i="26" a="1"/>
  <c r="Q28" i="26" s="1" a="1"/>
  <c r="O28" i="26" a="1"/>
  <c r="N26" i="26" a="1"/>
  <c r="M26" i="26" s="1" a="1"/>
  <c r="P19" i="26" a="1"/>
  <c r="O18" i="26" a="1"/>
  <c r="P56" i="26" a="1"/>
  <c r="Q56" i="26" s="1" a="1"/>
  <c r="N50" i="26" a="1"/>
  <c r="M50" i="26" s="1" a="1"/>
  <c r="O39" i="26" a="1"/>
  <c r="P24" i="26" a="1"/>
  <c r="Q24" i="26" s="1" a="1"/>
  <c r="N18" i="26" a="1"/>
  <c r="M18" i="26" s="1" a="1"/>
  <c r="O4" i="26" a="1"/>
  <c r="P52" i="26" a="1"/>
  <c r="Q52" i="26" s="1" a="1"/>
  <c r="N46" i="26" a="1"/>
  <c r="M46" i="26" s="1" a="1"/>
  <c r="O35" i="26" a="1"/>
  <c r="P20" i="26" a="1"/>
  <c r="Q20" i="26" s="1" a="1"/>
  <c r="N14" i="26" a="1"/>
  <c r="M14" i="26" s="1" a="1"/>
  <c r="N10" i="26" a="1"/>
  <c r="M10" i="26" s="1" a="1"/>
  <c r="O9" i="26" a="1"/>
  <c r="P8" i="26" a="1"/>
  <c r="Q8" i="26" s="1" a="1"/>
  <c r="N3" i="26" a="1"/>
  <c r="M3" i="26" s="1" a="1"/>
  <c r="O20" i="26" a="1"/>
  <c r="P12" i="26" a="1"/>
  <c r="Q12" i="26" s="1" a="1"/>
  <c r="O7" i="26" a="1"/>
  <c r="N17" i="26" a="1"/>
  <c r="M17" i="26" s="1" a="1"/>
  <c r="O16" i="26" a="1"/>
  <c r="N9" i="26" a="1"/>
  <c r="M9" i="26" s="1" a="1"/>
  <c r="Q3" i="26" a="1"/>
  <c r="N34" i="26" a="1"/>
  <c r="M34" i="26" s="1" a="1"/>
  <c r="P68" i="26" a="1"/>
  <c r="Q68" i="26" s="1" a="1"/>
  <c r="N62" i="26" a="1"/>
  <c r="M62" i="26" s="1" a="1"/>
  <c r="O51" i="26" a="1"/>
  <c r="P36" i="26" a="1"/>
  <c r="Q36" i="26" s="1" a="1"/>
  <c r="N30" i="26" a="1"/>
  <c r="M30" i="26" s="1" a="1"/>
  <c r="O19" i="26" a="1"/>
  <c r="N6" i="26" a="1"/>
  <c r="M6" i="26" s="1" a="1"/>
  <c r="O5" i="26" a="1"/>
  <c r="P4" i="26" a="1"/>
  <c r="Q4" i="26" s="1" a="1"/>
  <c r="O175" i="26" a="1"/>
  <c r="O129" i="26" a="1"/>
  <c r="N127" i="26" a="1"/>
  <c r="P195" i="26" a="1"/>
  <c r="N168" i="26" a="1"/>
  <c r="M168" i="26" s="1" a="1"/>
  <c r="N86" i="26" a="1"/>
  <c r="N110" i="26" a="1"/>
  <c r="P91" i="26" a="1"/>
  <c r="P235" i="26" a="1"/>
  <c r="O154" i="26" a="1"/>
  <c r="O111" i="26" a="1"/>
  <c r="P87" i="26" a="1"/>
  <c r="P246" i="26" a="1"/>
  <c r="O241" i="26" a="1"/>
  <c r="O239" i="26" a="1"/>
  <c r="N202" i="26" a="1"/>
  <c r="O103" i="26" a="1"/>
  <c r="P188" i="26" a="1"/>
  <c r="O178" i="26" a="1"/>
  <c r="P162" i="26" a="1"/>
  <c r="P147" i="26" a="1"/>
  <c r="P137" i="26" a="1"/>
  <c r="Q137" i="26" s="1" a="1"/>
  <c r="O120" i="26" a="1"/>
  <c r="N114" i="26" a="1"/>
  <c r="M114" i="26" s="1" a="1"/>
  <c r="O110" i="26" a="1"/>
  <c r="N245" i="26" a="1"/>
  <c r="N142" i="26" a="1"/>
  <c r="P120" i="26" a="1"/>
  <c r="N234" i="26" a="1"/>
  <c r="N260" i="26" a="1"/>
  <c r="P227" i="26" a="1"/>
  <c r="N218" i="26" a="1"/>
  <c r="O211" i="26" a="1"/>
  <c r="P248" i="26" a="1"/>
  <c r="O191" i="26" a="1"/>
  <c r="O112" i="26" a="1"/>
  <c r="O223" i="26" a="1"/>
  <c r="N252" i="26" a="1"/>
  <c r="O106" i="26" a="1"/>
  <c r="P178" i="26" a="1"/>
  <c r="Q178" i="26" s="1" a="1"/>
  <c r="P177" i="26" a="1"/>
  <c r="Q177" i="26" s="1" a="1"/>
  <c r="N123" i="26" a="1"/>
  <c r="M123" i="26" s="1" a="1"/>
  <c r="N102" i="26" a="1"/>
  <c r="P250" i="26" a="1"/>
  <c r="O250" i="26" a="1"/>
  <c r="N176" i="26" a="1"/>
  <c r="M176" i="26" s="1" a="1"/>
  <c r="P143" i="26" a="1"/>
  <c r="P267" i="26" a="1"/>
  <c r="Q267" i="26" s="1" a="1"/>
  <c r="P259" i="26" a="1"/>
  <c r="Q259" i="26" s="1" a="1"/>
  <c r="P200" i="26" a="1"/>
  <c r="P184" i="26" a="1"/>
  <c r="P180" i="26" a="1"/>
  <c r="Q248" i="26" a="1"/>
  <c r="N254" i="26" a="1"/>
  <c r="M254" i="26" s="1" a="1"/>
  <c r="O172" i="26" a="1"/>
  <c r="N118" i="26" a="1"/>
  <c r="N225" i="26" a="1"/>
  <c r="N261" i="26" a="1"/>
  <c r="O247" i="26" a="1"/>
  <c r="P243" i="26" a="1"/>
  <c r="Q243" i="26" s="1" a="1"/>
  <c r="P232" i="26" a="1"/>
  <c r="Q232" i="26" s="1" a="1"/>
  <c r="O222" i="26" a="1"/>
  <c r="M221" i="26" a="1"/>
  <c r="P215" i="26" a="1"/>
  <c r="P213" i="26" a="1"/>
  <c r="P211" i="26" a="1"/>
  <c r="O203" i="26" a="1"/>
  <c r="O180" i="26" a="1"/>
  <c r="P167" i="26" a="1"/>
  <c r="Q167" i="26" s="1" a="1"/>
  <c r="P107" i="26" a="1"/>
  <c r="Q107" i="26" s="1" a="1"/>
  <c r="N193" i="26" a="1"/>
  <c r="O142" i="26" a="1"/>
  <c r="P263" i="26" a="1"/>
  <c r="Q263" i="26" s="1" a="1"/>
  <c r="O179" i="26" a="1"/>
  <c r="N179" i="26" a="1"/>
  <c r="M179" i="26" s="1" a="1"/>
  <c r="N247" i="26" a="1"/>
  <c r="M247" i="26" s="1" a="1"/>
  <c r="O245" i="26" a="1"/>
  <c r="O243" i="26" a="1"/>
  <c r="Q220" i="26" a="1"/>
  <c r="O190" i="26" a="1"/>
  <c r="N189" i="26" a="1"/>
  <c r="M189" i="26" s="1" a="1"/>
  <c r="O186" i="26" a="1"/>
  <c r="N186" i="26" a="1"/>
  <c r="M186" i="26" s="1" a="1"/>
  <c r="O132" i="26" a="1"/>
  <c r="O130" i="26" a="1"/>
  <c r="N109" i="26" a="1"/>
  <c r="N214" i="26" a="1"/>
  <c r="N161" i="26" a="1"/>
  <c r="P155" i="26" a="1"/>
  <c r="Q155" i="26" s="1" a="1"/>
  <c r="P212" i="26" a="1"/>
  <c r="Q212" i="26" s="1" a="1"/>
  <c r="O199" i="26" a="1"/>
  <c r="N172" i="26" a="1"/>
  <c r="N130" i="26" a="1"/>
  <c r="M130" i="26" s="1" a="1"/>
  <c r="O85" i="26" a="1"/>
  <c r="O218" i="26" a="1"/>
  <c r="P183" i="26" a="1"/>
  <c r="Q183" i="26" s="1" a="1"/>
  <c r="O107" i="26" a="1"/>
  <c r="O92" i="26" a="1"/>
  <c r="N88" i="26" a="1"/>
  <c r="M88" i="26" s="1" a="1"/>
  <c r="O266" i="26" a="1"/>
  <c r="O262" i="26" a="1"/>
  <c r="P260" i="26" a="1"/>
  <c r="P236" i="26" a="1"/>
  <c r="Q236" i="26" s="1" a="1"/>
  <c r="O206" i="26" a="1"/>
  <c r="P191" i="26" a="1"/>
  <c r="O181" i="26" a="1"/>
  <c r="N167" i="26" a="1"/>
  <c r="M167" i="26" s="1" a="1"/>
  <c r="N164" i="26" a="1"/>
  <c r="N147" i="26" a="1"/>
  <c r="P140" i="26" a="1"/>
  <c r="O108" i="26" a="1"/>
  <c r="O94" i="26" a="1"/>
  <c r="O144" i="26" a="1"/>
  <c r="O95" i="26" a="1"/>
  <c r="N265" i="26" a="1"/>
  <c r="N250" i="26" a="1"/>
  <c r="P244" i="26" a="1"/>
  <c r="Q244" i="26" s="1" a="1"/>
  <c r="P231" i="26" a="1"/>
  <c r="O209" i="26" a="1"/>
  <c r="N141" i="26" a="1"/>
  <c r="M141" i="26" s="1" a="1"/>
  <c r="O128" i="26" a="1"/>
  <c r="O100" i="26" a="1"/>
  <c r="P92" i="26" a="1"/>
  <c r="P229" i="26" a="1"/>
  <c r="Q229" i="26" s="1" a="1"/>
  <c r="P266" i="26" a="1"/>
  <c r="Q266" i="26" s="1" a="1"/>
  <c r="P262" i="26" a="1"/>
  <c r="Q262" i="26" s="1" a="1"/>
  <c r="N257" i="26" a="1"/>
  <c r="M257" i="26" s="1" a="1"/>
  <c r="O255" i="26" a="1"/>
  <c r="O253" i="26" a="1"/>
  <c r="O251" i="26" a="1"/>
  <c r="O246" i="26" a="1"/>
  <c r="N237" i="26" a="1"/>
  <c r="Q216" i="26" a="1"/>
  <c r="P210" i="26" a="1"/>
  <c r="Q210" i="26" s="1" a="1"/>
  <c r="P208" i="26" a="1"/>
  <c r="Q208" i="26" s="1" a="1"/>
  <c r="P206" i="26" a="1"/>
  <c r="Q206" i="26" s="1" a="1"/>
  <c r="N178" i="26" a="1"/>
  <c r="P173" i="26" a="1"/>
  <c r="O164" i="26" a="1"/>
  <c r="O258" i="26" a="1"/>
  <c r="P256" i="26" a="1"/>
  <c r="Q256" i="26" s="1" a="1"/>
  <c r="O234" i="26" a="1"/>
  <c r="P223" i="26" a="1"/>
  <c r="O202" i="26" a="1"/>
  <c r="N182" i="26" a="1"/>
  <c r="O176" i="26" a="1"/>
  <c r="N171" i="26" a="1"/>
  <c r="O155" i="26" a="1"/>
  <c r="P141" i="26" a="1"/>
  <c r="Q141" i="26" s="1" a="1"/>
  <c r="N96" i="26" a="1"/>
  <c r="M96" i="26" s="1" a="1"/>
  <c r="O86" i="26" a="1"/>
  <c r="N267" i="26" a="1"/>
  <c r="O267" i="26" a="1"/>
  <c r="O238" i="26" a="1"/>
  <c r="P233" i="26" a="1"/>
  <c r="Q233" i="26" s="1" a="1"/>
  <c r="N233" i="26" a="1"/>
  <c r="M233" i="26" s="1" a="1"/>
  <c r="P174" i="26" a="1"/>
  <c r="Q174" i="26" s="1" a="1"/>
  <c r="O163" i="26" a="1"/>
  <c r="N163" i="26" a="1"/>
  <c r="M163" i="26" s="1" a="1"/>
  <c r="N145" i="26" a="1"/>
  <c r="M145" i="26" s="1" a="1"/>
  <c r="P136" i="26" a="1"/>
  <c r="Q136" i="26" s="1" a="1"/>
  <c r="O133" i="26" a="1"/>
  <c r="N133" i="26" a="1"/>
  <c r="M133" i="26" s="1" a="1"/>
  <c r="N128" i="26" a="1"/>
  <c r="M128" i="26" s="1" a="1"/>
  <c r="P128" i="26" a="1"/>
  <c r="Q128" i="26" s="1" a="1"/>
  <c r="N99" i="26" a="1"/>
  <c r="O99" i="26" a="1"/>
  <c r="N207" i="26" a="1"/>
  <c r="M207" i="26" s="1" a="1"/>
  <c r="N204" i="26" a="1"/>
  <c r="O204" i="26" a="1"/>
  <c r="P169" i="26" a="1"/>
  <c r="Q169" i="26" s="1" a="1"/>
  <c r="N166" i="26" a="1"/>
  <c r="M166" i="26" s="1" a="1"/>
  <c r="P166" i="26" a="1"/>
  <c r="Q166" i="26" s="1" a="1"/>
  <c r="N165" i="26" a="1"/>
  <c r="M165" i="26" s="1" a="1"/>
  <c r="O165" i="26" a="1"/>
  <c r="P159" i="26" a="1"/>
  <c r="Q159" i="26" s="1" a="1"/>
  <c r="N159" i="26" a="1"/>
  <c r="M159" i="26" s="1" a="1"/>
  <c r="P153" i="26" a="1"/>
  <c r="Q153" i="26" s="1" a="1"/>
  <c r="P150" i="26" a="1"/>
  <c r="Q150" i="26" s="1" a="1"/>
  <c r="P148" i="26" a="1"/>
  <c r="O148" i="26" a="1"/>
  <c r="P146" i="26" a="1"/>
  <c r="Q146" i="26" s="1" a="1"/>
  <c r="P134" i="26" a="1"/>
  <c r="Q134" i="26" s="1" a="1"/>
  <c r="O127" i="26" a="1"/>
  <c r="P117" i="26" a="1"/>
  <c r="Q117" i="26" s="1" a="1"/>
  <c r="O264" i="26" a="1"/>
  <c r="P261" i="26" a="1"/>
  <c r="Q261" i="26" s="1" a="1"/>
  <c r="O230" i="26" a="1"/>
  <c r="O213" i="26" a="1"/>
  <c r="N213" i="26" a="1"/>
  <c r="M213" i="26" s="1" a="1"/>
  <c r="N211" i="26" a="1"/>
  <c r="M211" i="26" s="1" a="1"/>
  <c r="O187" i="26" a="1"/>
  <c r="P185" i="26" a="1"/>
  <c r="Q185" i="26" s="1" a="1"/>
  <c r="N185" i="26" a="1"/>
  <c r="M185" i="26" s="1" a="1"/>
  <c r="O183" i="26" a="1"/>
  <c r="N131" i="26" a="1"/>
  <c r="O131" i="26" a="1"/>
  <c r="P129" i="26" a="1"/>
  <c r="Q129" i="26" s="1" a="1"/>
  <c r="N266" i="26" a="1"/>
  <c r="M266" i="26" s="1" a="1"/>
  <c r="N264" i="26" a="1"/>
  <c r="M264" i="26" s="1" a="1"/>
  <c r="P252" i="26" a="1"/>
  <c r="P247" i="26" a="1"/>
  <c r="N244" i="26" a="1"/>
  <c r="M244" i="26" s="1" a="1"/>
  <c r="N243" i="26" a="1"/>
  <c r="M243" i="26" s="1" a="1"/>
  <c r="P239" i="26" a="1"/>
  <c r="N232" i="26" a="1"/>
  <c r="M232" i="26" s="1" a="1"/>
  <c r="O232" i="26" a="1"/>
  <c r="N231" i="26" a="1"/>
  <c r="M231" i="26" s="1" a="1"/>
  <c r="P226" i="26" a="1"/>
  <c r="P224" i="26" a="1"/>
  <c r="Q224" i="26" s="1" a="1"/>
  <c r="P222" i="26" a="1"/>
  <c r="Q222" i="26" s="1" a="1"/>
  <c r="O214" i="26" a="1"/>
  <c r="N209" i="26" a="1"/>
  <c r="M209" i="26" s="1" a="1"/>
  <c r="P204" i="26" a="1"/>
  <c r="Q204" i="26" s="1" a="1"/>
  <c r="P196" i="26" a="1"/>
  <c r="Q196" i="26" s="1" a="1"/>
  <c r="P194" i="26" a="1"/>
  <c r="Q194" i="26" s="1" a="1"/>
  <c r="P192" i="26" a="1"/>
  <c r="Q192" i="26" s="1" a="1"/>
  <c r="P190" i="26" a="1"/>
  <c r="Q190" i="26" s="1" a="1"/>
  <c r="O182" i="26" a="1"/>
  <c r="N181" i="26" a="1"/>
  <c r="M181" i="26" s="1" a="1"/>
  <c r="P132" i="26" a="1"/>
  <c r="Q132" i="26" s="1" a="1"/>
  <c r="N129" i="26" a="1"/>
  <c r="M129" i="26" s="1" a="1"/>
  <c r="P115" i="26" a="1"/>
  <c r="N85" i="26" a="1"/>
  <c r="M85" i="26" s="1" a="1"/>
  <c r="P125" i="26" a="1"/>
  <c r="Q125" i="26" s="1" a="1"/>
  <c r="P264" i="26" a="1"/>
  <c r="Q264" i="26" s="1" a="1"/>
  <c r="O260" i="26" a="1"/>
  <c r="N255" i="26" a="1"/>
  <c r="M255" i="26" s="1" a="1"/>
  <c r="N236" i="26" a="1"/>
  <c r="M236" i="26" s="1" a="1"/>
  <c r="O236" i="26" a="1"/>
  <c r="N210" i="26" a="1"/>
  <c r="M210" i="26" s="1" a="1"/>
  <c r="N200" i="26" a="1"/>
  <c r="M200" i="26" s="1" a="1"/>
  <c r="O200" i="26" a="1"/>
  <c r="N113" i="26" a="1"/>
  <c r="M113" i="26" s="1" a="1"/>
  <c r="N262" i="26" a="1"/>
  <c r="M262" i="26" s="1" a="1"/>
  <c r="P251" i="26" a="1"/>
  <c r="Q251" i="26" s="1" a="1"/>
  <c r="P242" i="26" a="1"/>
  <c r="Q242" i="26" s="1" a="1"/>
  <c r="N206" i="26" a="1"/>
  <c r="M206" i="26" s="1" a="1"/>
  <c r="O242" i="26" a="1"/>
  <c r="N174" i="26" a="1"/>
  <c r="M174" i="26" s="1" a="1"/>
  <c r="O174" i="26" a="1"/>
  <c r="O166" i="26" a="1"/>
  <c r="P156" i="26" a="1"/>
  <c r="Q156" i="26" s="1" a="1"/>
  <c r="O156" i="26" a="1"/>
  <c r="N87" i="26" a="1"/>
  <c r="P265" i="26" a="1"/>
  <c r="Q265" i="26" s="1" a="1"/>
  <c r="O261" i="26" a="1"/>
  <c r="N253" i="26" a="1"/>
  <c r="M253" i="26" s="1" a="1"/>
  <c r="O249" i="26" a="1"/>
  <c r="O248" i="26" a="1"/>
  <c r="N248" i="26" a="1"/>
  <c r="M248" i="26" s="1" a="1"/>
  <c r="P238" i="26" a="1"/>
  <c r="Q238" i="26" s="1" a="1"/>
  <c r="O229" i="26" a="1"/>
  <c r="N216" i="26" a="1"/>
  <c r="M216" i="26" s="1" a="1"/>
  <c r="O216" i="26" a="1"/>
  <c r="P197" i="26" a="1"/>
  <c r="Q197" i="26" s="1" a="1"/>
  <c r="N194" i="26" a="1"/>
  <c r="M194" i="26" s="1" a="1"/>
  <c r="N184" i="26" a="1"/>
  <c r="M184" i="26" s="1" a="1"/>
  <c r="O184" i="26" a="1"/>
  <c r="O177" i="26" a="1"/>
  <c r="N175" i="26" a="1"/>
  <c r="M175" i="26" s="1" a="1"/>
  <c r="O171" i="26" a="1"/>
  <c r="P158" i="26" a="1"/>
  <c r="Q158" i="26" s="1" a="1"/>
  <c r="P149" i="26" a="1"/>
  <c r="Q149" i="26" s="1" a="1"/>
  <c r="P139" i="26" a="1"/>
  <c r="Q139" i="26" s="1" a="1"/>
  <c r="P135" i="26" a="1"/>
  <c r="Q135" i="26" s="1" a="1"/>
  <c r="O122" i="26" a="1"/>
  <c r="O117" i="26" a="1"/>
  <c r="N117" i="26" a="1"/>
  <c r="M117" i="26" s="1" a="1"/>
  <c r="P104" i="26" a="1"/>
  <c r="Q104" i="26" s="1" a="1"/>
  <c r="N258" i="26" a="1"/>
  <c r="M258" i="26" s="1" a="1"/>
  <c r="P254" i="26" a="1"/>
  <c r="Q254" i="26" s="1" a="1"/>
  <c r="O198" i="26" a="1"/>
  <c r="O93" i="26" a="1"/>
  <c r="N93" i="26" a="1"/>
  <c r="M93" i="26" s="1" a="1"/>
  <c r="N198" i="26" a="1"/>
  <c r="M198" i="26" s="1" a="1"/>
  <c r="O254" i="26" a="1"/>
  <c r="P113" i="26" a="1"/>
  <c r="Q113" i="26" s="1" a="1"/>
  <c r="P268" i="26" a="1"/>
  <c r="Q268" i="26" s="1" a="1"/>
  <c r="P253" i="26" a="1"/>
  <c r="Q253" i="26" s="1" a="1"/>
  <c r="O231" i="26" a="1"/>
  <c r="P228" i="26" a="1"/>
  <c r="Q228" i="26" s="1" a="1"/>
  <c r="O219" i="26" a="1"/>
  <c r="P217" i="26" a="1"/>
  <c r="Q217" i="26" s="1" a="1"/>
  <c r="N217" i="26" a="1"/>
  <c r="M217" i="26" s="1" a="1"/>
  <c r="O215" i="26" a="1"/>
  <c r="O207" i="26" a="1"/>
  <c r="P199" i="26" a="1"/>
  <c r="Q199" i="26" s="1" a="1"/>
  <c r="O146" i="26" a="1"/>
  <c r="N97" i="26" a="1"/>
  <c r="P97" i="26" a="1"/>
  <c r="Q97" i="26" s="1" a="1"/>
  <c r="O268" i="26" a="1"/>
  <c r="N259" i="26" a="1"/>
  <c r="M259" i="26" s="1" a="1"/>
  <c r="O259" i="26" a="1"/>
  <c r="N249" i="26" a="1"/>
  <c r="M249" i="26" s="1" a="1"/>
  <c r="N226" i="26" a="1"/>
  <c r="M226" i="26" s="1" a="1"/>
  <c r="N268" i="26" a="1"/>
  <c r="M268" i="26" s="1" a="1"/>
  <c r="O256" i="26" a="1"/>
  <c r="N256" i="26" a="1"/>
  <c r="M256" i="26" s="1" a="1"/>
  <c r="N241" i="26" a="1"/>
  <c r="M241" i="26" s="1" a="1"/>
  <c r="N239" i="26" a="1"/>
  <c r="M239" i="26" s="1" a="1"/>
  <c r="N230" i="26" a="1"/>
  <c r="M230" i="26" s="1" a="1"/>
  <c r="M229" i="26" a="1"/>
  <c r="O225" i="26" a="1"/>
  <c r="N223" i="26" a="1"/>
  <c r="M223" i="26" s="1" a="1"/>
  <c r="N222" i="26" a="1"/>
  <c r="N220" i="26" a="1"/>
  <c r="M220" i="26" s="1" a="1"/>
  <c r="O220" i="26" a="1"/>
  <c r="P207" i="26" a="1"/>
  <c r="Q207" i="26" s="1" a="1"/>
  <c r="O193" i="26" a="1"/>
  <c r="N191" i="26" a="1"/>
  <c r="M191" i="26" s="1" a="1"/>
  <c r="N190" i="26" a="1"/>
  <c r="M190" i="26" s="1" a="1"/>
  <c r="N188" i="26" a="1"/>
  <c r="M188" i="26" s="1" a="1"/>
  <c r="O188" i="26" a="1"/>
  <c r="N177" i="26" a="1"/>
  <c r="M177" i="26" s="1" a="1"/>
  <c r="P175" i="26" a="1"/>
  <c r="Q175" i="26" s="1" a="1"/>
  <c r="P170" i="26" a="1"/>
  <c r="Q170" i="26" s="1" a="1"/>
  <c r="P160" i="26" a="1"/>
  <c r="Q160" i="26" s="1" a="1"/>
  <c r="N157" i="26" a="1"/>
  <c r="M157" i="26" s="1" a="1"/>
  <c r="P157" i="26" a="1"/>
  <c r="Q157" i="26" s="1" a="1"/>
  <c r="P145" i="26" a="1"/>
  <c r="Q145" i="26" s="1" a="1"/>
  <c r="P131" i="26" a="1"/>
  <c r="Q131" i="26" s="1" a="1"/>
  <c r="O104" i="26" a="1"/>
  <c r="O265" i="26" a="1"/>
  <c r="N263" i="26" a="1"/>
  <c r="M263" i="26" s="1" a="1"/>
  <c r="O263" i="26" a="1"/>
  <c r="P258" i="26" a="1"/>
  <c r="Q258" i="26" s="1" a="1"/>
  <c r="O252" i="26" a="1"/>
  <c r="P245" i="26" a="1"/>
  <c r="N238" i="26" a="1"/>
  <c r="M238" i="26" s="1" a="1"/>
  <c r="N227" i="26" a="1"/>
  <c r="M227" i="26" s="1" a="1"/>
  <c r="P201" i="26" a="1"/>
  <c r="Q201" i="26" s="1" a="1"/>
  <c r="N201" i="26" a="1"/>
  <c r="M201" i="26" s="1" a="1"/>
  <c r="O197" i="26" a="1"/>
  <c r="N197" i="26" a="1"/>
  <c r="M197" i="26" s="1" a="1"/>
  <c r="N195" i="26" a="1"/>
  <c r="M195" i="26" s="1" a="1"/>
  <c r="P171" i="26" a="1"/>
  <c r="Q171" i="26" s="1" a="1"/>
  <c r="P163" i="26" a="1"/>
  <c r="Q163" i="26" s="1" a="1"/>
  <c r="N162" i="26" a="1"/>
  <c r="O162" i="26" a="1"/>
  <c r="P152" i="26" a="1"/>
  <c r="Q152" i="26" s="1" a="1"/>
  <c r="N138" i="26" a="1"/>
  <c r="M138" i="26" s="1" a="1"/>
  <c r="N135" i="26" a="1"/>
  <c r="M135" i="26" s="1" a="1"/>
  <c r="O135" i="26" a="1"/>
  <c r="M222" i="26" a="1"/>
  <c r="N215" i="26" a="1"/>
  <c r="M215" i="26" s="1" a="1"/>
  <c r="N199" i="26" a="1"/>
  <c r="M199" i="26" s="1" a="1"/>
  <c r="N183" i="26" a="1"/>
  <c r="M183" i="26" s="1" a="1"/>
  <c r="N180" i="26" a="1"/>
  <c r="M180" i="26" s="1" a="1"/>
  <c r="P179" i="26" a="1"/>
  <c r="Q179" i="26" s="1" a="1"/>
  <c r="N170" i="26" a="1"/>
  <c r="M170" i="26" s="1" a="1"/>
  <c r="O169" i="26" a="1"/>
  <c r="P168" i="26" a="1"/>
  <c r="N160" i="26" a="1"/>
  <c r="M160" i="26" s="1" a="1"/>
  <c r="O160" i="26" a="1"/>
  <c r="O150" i="26" a="1"/>
  <c r="O149" i="26" a="1"/>
  <c r="N149" i="26" a="1"/>
  <c r="M149" i="26" s="1" a="1"/>
  <c r="O139" i="26" a="1"/>
  <c r="O137" i="26" a="1"/>
  <c r="N137" i="26" a="1"/>
  <c r="M137" i="26" s="1" a="1"/>
  <c r="O123" i="26" a="1"/>
  <c r="O119" i="26" a="1"/>
  <c r="N119" i="26" a="1"/>
  <c r="M119" i="26" s="1" a="1"/>
  <c r="O105" i="26" a="1"/>
  <c r="N105" i="26" a="1"/>
  <c r="M105" i="26" s="1" a="1"/>
  <c r="N100" i="26" a="1"/>
  <c r="M100" i="26" s="1" a="1"/>
  <c r="P249" i="26" a="1"/>
  <c r="Q249" i="26" s="1" a="1"/>
  <c r="N240" i="26" a="1"/>
  <c r="M240" i="26" s="1" a="1"/>
  <c r="O240" i="26" a="1"/>
  <c r="P237" i="26" a="1"/>
  <c r="Q237" i="26" s="1" a="1"/>
  <c r="O233" i="26" a="1"/>
  <c r="P230" i="26" a="1"/>
  <c r="Q230" i="26" s="1" a="1"/>
  <c r="O226" i="26" a="1"/>
  <c r="N224" i="26" a="1"/>
  <c r="M224" i="26" s="1" a="1"/>
  <c r="O224" i="26" a="1"/>
  <c r="P221" i="26" a="1"/>
  <c r="Q221" i="26" s="1" a="1"/>
  <c r="P219" i="26" a="1"/>
  <c r="Q219" i="26" s="1" a="1"/>
  <c r="O217" i="26" a="1"/>
  <c r="P214" i="26" a="1"/>
  <c r="Q214" i="26" s="1" a="1"/>
  <c r="O210" i="26" a="1"/>
  <c r="N208" i="26" a="1"/>
  <c r="M208" i="26" s="1" a="1"/>
  <c r="O208" i="26" a="1"/>
  <c r="P205" i="26" a="1"/>
  <c r="Q205" i="26" s="1" a="1"/>
  <c r="P203" i="26" a="1"/>
  <c r="Q203" i="26" s="1" a="1"/>
  <c r="O201" i="26" a="1"/>
  <c r="P198" i="26" a="1"/>
  <c r="Q198" i="26" s="1" a="1"/>
  <c r="O194" i="26" a="1"/>
  <c r="N192" i="26" a="1"/>
  <c r="M192" i="26" s="1" a="1"/>
  <c r="O192" i="26" a="1"/>
  <c r="P189" i="26" a="1"/>
  <c r="Q189" i="26" s="1" a="1"/>
  <c r="P187" i="26" a="1"/>
  <c r="Q187" i="26" s="1" a="1"/>
  <c r="O185" i="26" a="1"/>
  <c r="P182" i="26" a="1"/>
  <c r="Q182" i="26" s="1" a="1"/>
  <c r="O173" i="26" a="1"/>
  <c r="O161" i="26" a="1"/>
  <c r="O159" i="26" a="1"/>
  <c r="N155" i="26" a="1"/>
  <c r="M155" i="26" s="1" a="1"/>
  <c r="N150" i="26" a="1"/>
  <c r="M150" i="26" s="1" a="1"/>
  <c r="O147" i="26" a="1"/>
  <c r="O140" i="26" a="1"/>
  <c r="O138" i="26" a="1"/>
  <c r="N134" i="26" a="1"/>
  <c r="M134" i="26" s="1" a="1"/>
  <c r="N106" i="26" a="1"/>
  <c r="M106" i="26" s="1" a="1"/>
  <c r="P105" i="26" a="1"/>
  <c r="Q105" i="26" s="1" a="1"/>
  <c r="P98" i="26" a="1"/>
  <c r="Q98" i="26" s="1" a="1"/>
  <c r="N235" i="26" a="1"/>
  <c r="M235" i="26" s="1" a="1"/>
  <c r="N219" i="26" a="1"/>
  <c r="M219" i="26" s="1" a="1"/>
  <c r="N203" i="26" a="1"/>
  <c r="M203" i="26" s="1" a="1"/>
  <c r="N187" i="26" a="1"/>
  <c r="M187" i="26" s="1" a="1"/>
  <c r="P176" i="26" a="1"/>
  <c r="Q176" i="26" s="1" a="1"/>
  <c r="P172" i="26" a="1"/>
  <c r="Q172" i="26" s="1" a="1"/>
  <c r="O168" i="26" a="1"/>
  <c r="P165" i="26" a="1"/>
  <c r="Q165" i="26" s="1" a="1"/>
  <c r="N158" i="26" a="1"/>
  <c r="O158" i="26" a="1"/>
  <c r="O126" i="26" a="1"/>
  <c r="P124" i="26" a="1"/>
  <c r="Q124" i="26" s="1" a="1"/>
  <c r="O124" i="26" a="1"/>
  <c r="N120" i="26" a="1"/>
  <c r="M120" i="26" s="1" a="1"/>
  <c r="O118" i="26" a="1"/>
  <c r="P116" i="26" a="1"/>
  <c r="Q116" i="26" s="1" a="1"/>
  <c r="O101" i="26" a="1"/>
  <c r="N101" i="26" a="1"/>
  <c r="M101" i="26" s="1" a="1"/>
  <c r="N251" i="26" a="1"/>
  <c r="M251" i="26" s="1" a="1"/>
  <c r="P257" i="26" a="1"/>
  <c r="Q257" i="26" s="1" a="1"/>
  <c r="N246" i="26" a="1"/>
  <c r="M246" i="26" s="1" a="1"/>
  <c r="O244" i="26" a="1"/>
  <c r="N242" i="26" a="1"/>
  <c r="M242" i="26" s="1" a="1"/>
  <c r="P241" i="26" a="1"/>
  <c r="Q241" i="26" s="1" a="1"/>
  <c r="O237" i="26" a="1"/>
  <c r="O235" i="26" a="1"/>
  <c r="P234" i="26" a="1"/>
  <c r="Q234" i="26" s="1" a="1"/>
  <c r="N228" i="26" a="1"/>
  <c r="M228" i="26" s="1" a="1"/>
  <c r="O228" i="26" a="1"/>
  <c r="P225" i="26" a="1"/>
  <c r="Q225" i="26" s="1" a="1"/>
  <c r="O221" i="26" a="1"/>
  <c r="P218" i="26" a="1"/>
  <c r="Q218" i="26" s="1" a="1"/>
  <c r="N212" i="26" a="1"/>
  <c r="M212" i="26" s="1" a="1"/>
  <c r="O212" i="26" a="1"/>
  <c r="P209" i="26" a="1"/>
  <c r="Q209" i="26" s="1" a="1"/>
  <c r="O205" i="26" a="1"/>
  <c r="P202" i="26" a="1"/>
  <c r="Q202" i="26" s="1" a="1"/>
  <c r="N196" i="26" a="1"/>
  <c r="M196" i="26" s="1" a="1"/>
  <c r="O196" i="26" a="1"/>
  <c r="P193" i="26" a="1"/>
  <c r="Q193" i="26" s="1" a="1"/>
  <c r="O189" i="26" a="1"/>
  <c r="P186" i="26" a="1"/>
  <c r="Q186" i="26" s="1" a="1"/>
  <c r="P181" i="26" a="1"/>
  <c r="Q181" i="26" s="1" a="1"/>
  <c r="N173" i="26" a="1"/>
  <c r="M173" i="26" s="1" a="1"/>
  <c r="O170" i="26" a="1"/>
  <c r="N169" i="26" a="1"/>
  <c r="M169" i="26" s="1" a="1"/>
  <c r="N139" i="26" a="1"/>
  <c r="M139" i="26" s="1" a="1"/>
  <c r="N126" i="26" a="1"/>
  <c r="M126" i="26" s="1" a="1"/>
  <c r="O116" i="26" a="1"/>
  <c r="P99" i="26" a="1"/>
  <c r="O98" i="26" a="1"/>
  <c r="N98" i="26" a="1"/>
  <c r="M98" i="26" a="1"/>
  <c r="P93" i="26" a="1"/>
  <c r="Q93" i="26" s="1" a="1"/>
  <c r="N154" i="26" a="1"/>
  <c r="M154" i="26" s="1" a="1"/>
  <c r="N146" i="26" a="1"/>
  <c r="M146" i="26" s="1" a="1"/>
  <c r="N140" i="26" a="1"/>
  <c r="M140" i="26" s="1" a="1"/>
  <c r="P130" i="26" a="1"/>
  <c r="Q130" i="26" s="1" a="1"/>
  <c r="O125" i="26" a="1"/>
  <c r="N125" i="26" a="1"/>
  <c r="M125" i="26" s="1" a="1"/>
  <c r="N116" i="26" a="1"/>
  <c r="M116" i="26" s="1" a="1"/>
  <c r="N115" i="26" a="1"/>
  <c r="M115" i="26" s="1" a="1"/>
  <c r="O115" i="26" a="1"/>
  <c r="P112" i="26" a="1"/>
  <c r="Q112" i="26" s="1" a="1"/>
  <c r="N95" i="26" a="1"/>
  <c r="O167" i="26" a="1"/>
  <c r="O153" i="26" a="1"/>
  <c r="N153" i="26" a="1"/>
  <c r="M153" i="26" s="1" a="1"/>
  <c r="N144" i="26" a="1"/>
  <c r="M144" i="26" s="1" a="1"/>
  <c r="O143" i="26" a="1"/>
  <c r="P127" i="26" a="1"/>
  <c r="Q127" i="26" s="1" a="1"/>
  <c r="O114" i="26" a="1"/>
  <c r="P84" i="26" a="1"/>
  <c r="Q84" i="26" s="1" a="1"/>
  <c r="P164" i="26" a="1"/>
  <c r="P161" i="26" a="1"/>
  <c r="Q161" i="26" s="1" a="1"/>
  <c r="N156" i="26" a="1"/>
  <c r="M156" i="26" s="1" a="1"/>
  <c r="O152" i="26" a="1"/>
  <c r="P151" i="26" a="1"/>
  <c r="Q151" i="26" s="1" a="1"/>
  <c r="N148" i="26" a="1"/>
  <c r="M148" i="26" s="1" a="1"/>
  <c r="N143" i="26" a="1"/>
  <c r="P142" i="26" a="1"/>
  <c r="P133" i="26" a="1"/>
  <c r="Q133" i="26" s="1" a="1"/>
  <c r="P118" i="26" a="1"/>
  <c r="Q118" i="26" s="1" a="1"/>
  <c r="O113" i="26" a="1"/>
  <c r="P109" i="26" a="1"/>
  <c r="Q109" i="26" s="1" a="1"/>
  <c r="P108" i="26" a="1"/>
  <c r="Q108" i="26" s="1" a="1"/>
  <c r="P106" i="26" a="1"/>
  <c r="Q106" i="26" s="1" a="1"/>
  <c r="P103" i="26" a="1"/>
  <c r="Q103" i="26" s="1" a="1"/>
  <c r="N90" i="26" a="1"/>
  <c r="M90" i="26" s="1" a="1"/>
  <c r="O90" i="26" a="1"/>
  <c r="O87" i="26" a="1"/>
  <c r="O84" i="26" a="1"/>
  <c r="O157" i="26" a="1"/>
  <c r="O151" i="26" a="1"/>
  <c r="P144" i="26" a="1"/>
  <c r="Q144" i="26" s="1" a="1"/>
  <c r="P138" i="26" a="1"/>
  <c r="Q138" i="26" s="1" a="1"/>
  <c r="M122" i="26" a="1"/>
  <c r="P121" i="26" a="1"/>
  <c r="Q121" i="26" s="1" a="1"/>
  <c r="N112" i="26" a="1"/>
  <c r="M112" i="26" s="1" a="1"/>
  <c r="P111" i="26" a="1"/>
  <c r="Q111" i="26" s="1" a="1"/>
  <c r="N108" i="26" a="1"/>
  <c r="M108" i="26" s="1" a="1"/>
  <c r="N103" i="26" a="1"/>
  <c r="M103" i="26" s="1" a="1"/>
  <c r="N91" i="26" a="1"/>
  <c r="M91" i="26" s="1" a="1"/>
  <c r="Q89" i="26" a="1"/>
  <c r="P88" i="26" a="1"/>
  <c r="Q88" i="26" s="1" a="1"/>
  <c r="P126" i="26" a="1"/>
  <c r="Q126" i="26" s="1" a="1"/>
  <c r="N124" i="26" a="1"/>
  <c r="M124" i="26" s="1" a="1"/>
  <c r="P123" i="26" a="1"/>
  <c r="Q123" i="26" s="1" a="1"/>
  <c r="O121" i="26" a="1"/>
  <c r="N121" i="26" a="1"/>
  <c r="M121" i="26" s="1" a="1"/>
  <c r="N111" i="26" a="1"/>
  <c r="M111" i="26" s="1" a="1"/>
  <c r="P110" i="26" a="1"/>
  <c r="Q110" i="26" s="1" a="1"/>
  <c r="O102" i="26" a="1"/>
  <c r="P101" i="26" a="1"/>
  <c r="Q101" i="26" s="1" a="1"/>
  <c r="P100" i="26" a="1"/>
  <c r="Q100" i="26" s="1" a="1"/>
  <c r="P96" i="26" a="1"/>
  <c r="Q96" i="26" s="1" a="1"/>
  <c r="P95" i="26" a="1"/>
  <c r="Q95" i="26" s="1" a="1"/>
  <c r="O89" i="26" a="1"/>
  <c r="N89" i="26" a="1"/>
  <c r="M89" i="26" s="1" a="1"/>
  <c r="P86" i="26" a="1"/>
  <c r="Q86" i="26" s="1" a="1"/>
  <c r="N152" i="26" a="1"/>
  <c r="M152" i="26" s="1" a="1"/>
  <c r="O145" i="26" a="1"/>
  <c r="M143" i="26" a="1"/>
  <c r="O136" i="26" a="1"/>
  <c r="O134" i="26" a="1"/>
  <c r="N132" i="26" a="1"/>
  <c r="M132" i="26" s="1" a="1"/>
  <c r="P114" i="26" a="1"/>
  <c r="Q114" i="26" s="1" a="1"/>
  <c r="O97" i="26" a="1"/>
  <c r="M95" i="26" a="1"/>
  <c r="N84" i="26" a="1"/>
  <c r="M84" i="26" s="1" a="1"/>
  <c r="P94" i="26" a="1"/>
  <c r="Q94" i="26" s="1" a="1"/>
  <c r="P85" i="26" a="1"/>
  <c r="Q85" i="26" s="1" a="1"/>
  <c r="P102" i="26" a="1"/>
  <c r="Q102" i="26" s="1" a="1"/>
  <c r="N94" i="26" a="1"/>
  <c r="M94" i="26" s="1" a="1"/>
  <c r="N92" i="26" a="1"/>
  <c r="M92" i="26" s="1" a="1"/>
  <c r="P154" i="26" a="1"/>
  <c r="Q154" i="26" s="1" a="1"/>
  <c r="O141" i="26" a="1"/>
  <c r="N136" i="26" a="1"/>
  <c r="M136" i="26" s="1" a="1"/>
  <c r="P122" i="26" a="1"/>
  <c r="Q122" i="26" s="1" a="1"/>
  <c r="O109" i="26" a="1"/>
  <c r="N104" i="26" a="1"/>
  <c r="P90" i="26" a="1"/>
  <c r="Q90" i="26" s="1" a="1"/>
  <c r="M158" i="26" l="1" a="1"/>
  <c r="M8" i="26" a="1"/>
  <c r="Q245" i="26" a="1"/>
  <c r="Q119" i="26" a="1"/>
  <c r="M83" i="26" a="1"/>
  <c r="Q61" i="26" a="1"/>
  <c r="M56" i="26" a="1"/>
  <c r="M61" i="26" a="1"/>
  <c r="Q60" i="26" a="1"/>
  <c r="Q79" i="26" a="1"/>
  <c r="M37" i="26" a="1"/>
  <c r="M205" i="26" a="1"/>
  <c r="Q240" i="26" a="1"/>
  <c r="Q255" i="26" a="1"/>
  <c r="M151" i="26" a="1"/>
  <c r="M131" i="26" a="1"/>
  <c r="Q115" i="26" a="1"/>
  <c r="M45" i="26" a="1"/>
  <c r="M41" i="26" a="1"/>
  <c r="M204" i="26" a="1"/>
  <c r="M57" i="26" a="1"/>
  <c r="M25" i="26" a="1"/>
  <c r="Q6" i="26" a="1"/>
  <c r="M237" i="26" a="1"/>
  <c r="Q226" i="26" a="1"/>
  <c r="M172" i="26" a="1"/>
  <c r="M214" i="26" a="1"/>
  <c r="M109" i="26" a="1"/>
  <c r="M250" i="26" a="1"/>
  <c r="M218" i="26" a="1"/>
  <c r="M142" i="26" a="1"/>
  <c r="M265" i="26" a="1"/>
  <c r="M225" i="26" a="1"/>
  <c r="M193" i="26" a="1"/>
  <c r="M161" i="26" a="1"/>
  <c r="M147" i="26" a="1"/>
  <c r="M15" i="26" a="1"/>
  <c r="M71" i="26" a="1"/>
  <c r="Q70" i="26" a="1"/>
  <c r="Q66" i="26" a="1"/>
  <c r="Q64" i="26" a="1"/>
  <c r="Q11" i="26" a="1"/>
  <c r="M252" i="26" a="1"/>
  <c r="M260" i="26" a="1"/>
  <c r="M245" i="26" a="1"/>
  <c r="M164" i="26" a="1"/>
  <c r="M267" i="26" a="1"/>
  <c r="M182" i="26" a="1"/>
  <c r="M178" i="26" a="1"/>
  <c r="M202" i="26" a="1"/>
  <c r="M234" i="26" a="1"/>
  <c r="M171" i="26" a="1"/>
  <c r="M261" i="26" a="1"/>
  <c r="Q195" i="26" a="1"/>
  <c r="M162" i="26" a="1"/>
  <c r="M127" i="26" a="1"/>
  <c r="Q120" i="26" a="1"/>
  <c r="M118" i="26" a="1"/>
  <c r="Q147" i="26" a="1"/>
  <c r="M99" i="26" a="1"/>
  <c r="M53" i="26" a="1"/>
  <c r="Q5" i="26" a="1"/>
  <c r="Q19" i="26" a="1"/>
  <c r="M7" i="26" a="1"/>
  <c r="M87" i="26" a="1"/>
  <c r="M102" i="26" a="1"/>
  <c r="Q91" i="26" a="1"/>
  <c r="M110" i="26" a="1"/>
  <c r="M107" i="26" a="1"/>
  <c r="M44" i="26" a="1"/>
  <c r="M78" i="26" a="1"/>
  <c r="M63" i="26" a="1"/>
  <c r="M97" i="26" a="1"/>
  <c r="M104" i="26" a="1"/>
  <c r="M86" i="26" a="1"/>
  <c r="Q53" i="26" a="1"/>
  <c r="Q173" i="26" a="1"/>
  <c r="Q223" i="26" a="1"/>
  <c r="Q143" i="26" a="1"/>
  <c r="Q92" i="26" a="1"/>
  <c r="Q227" i="26" a="1"/>
  <c r="Q43" i="26" a="1"/>
  <c r="Q32" i="26" a="1"/>
  <c r="Q21" i="26" a="1"/>
  <c r="Q9" i="26" a="1"/>
  <c r="Q184" i="26" a="1"/>
  <c r="Q188" i="26" a="1"/>
  <c r="Q180" i="26" a="1"/>
  <c r="Q235" i="26" a="1"/>
  <c r="Q200" i="26" a="1"/>
  <c r="Q252" i="26" a="1"/>
  <c r="Q247" i="26" a="1"/>
  <c r="Q239" i="26" a="1"/>
  <c r="Q211" i="26" a="1"/>
  <c r="Q191" i="26" a="1"/>
  <c r="Q250" i="26" a="1"/>
  <c r="Q87" i="26" a="1"/>
  <c r="Q99" i="26" a="1"/>
  <c r="Q148" i="26" a="1"/>
  <c r="Q162" i="26" a="1"/>
  <c r="Q231" i="26" a="1"/>
  <c r="Q215" i="26" a="1"/>
  <c r="Q246" i="26" a="1"/>
  <c r="Q140" i="26" a="1"/>
  <c r="Q213" i="26" a="1"/>
  <c r="Q260" i="26" a="1"/>
  <c r="Q168" i="26" a="1"/>
  <c r="Q78" i="26" a="1"/>
  <c r="Q47" i="26" a="1"/>
  <c r="Q82" i="26" a="1"/>
  <c r="Q164" i="26" a="1"/>
  <c r="Q142" i="26" a="1"/>
  <c r="D2" i="26"/>
  <c r="C2" i="26"/>
  <c r="C2" i="35"/>
  <c r="C10" i="9"/>
  <c r="F2" i="26"/>
  <c r="A2" i="26"/>
  <c r="B2" i="26"/>
  <c r="C16" i="35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6" i="18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6" i="15"/>
  <c r="C7" i="11"/>
  <c r="C8" i="11"/>
  <c r="C9" i="11"/>
  <c r="C10" i="11"/>
  <c r="C11" i="11"/>
  <c r="C12" i="11"/>
  <c r="C13" i="11"/>
  <c r="C14" i="11"/>
  <c r="C6" i="11"/>
  <c r="C15" i="11"/>
  <c r="C16" i="11"/>
  <c r="C17" i="11"/>
  <c r="C18" i="11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6" i="12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6" i="14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5" i="35" l="1"/>
  <c r="C8" i="35"/>
  <c r="C9" i="35"/>
  <c r="C17" i="35"/>
  <c r="C10" i="35"/>
  <c r="C18" i="35"/>
  <c r="C11" i="35"/>
  <c r="C19" i="35"/>
  <c r="C12" i="35"/>
  <c r="C20" i="35"/>
  <c r="C13" i="35"/>
  <c r="C6" i="35"/>
  <c r="C14" i="35"/>
  <c r="C7" i="35"/>
  <c r="C7" i="13" l="1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6" i="13"/>
  <c r="C7" i="8"/>
  <c r="C8" i="8"/>
  <c r="C9" i="8"/>
  <c r="C10" i="8"/>
  <c r="C11" i="8"/>
  <c r="C12" i="8"/>
  <c r="C13" i="8"/>
  <c r="C14" i="8"/>
  <c r="C15" i="8"/>
  <c r="C16" i="8"/>
  <c r="C17" i="8"/>
  <c r="C18" i="8"/>
  <c r="C6" i="8"/>
  <c r="C7" i="9"/>
  <c r="C8" i="9"/>
  <c r="C9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6" i="9"/>
  <c r="A2" i="33" a="1"/>
  <c r="C2" i="34"/>
  <c r="C11" i="34" l="1"/>
  <c r="C19" i="34"/>
  <c r="C15" i="34"/>
  <c r="C12" i="34"/>
  <c r="C20" i="34"/>
  <c r="C7" i="34"/>
  <c r="C13" i="34"/>
  <c r="C6" i="34"/>
  <c r="A2" i="30" s="1" a="1"/>
  <c r="C14" i="34"/>
  <c r="C8" i="34"/>
  <c r="C16" i="34"/>
  <c r="C9" i="34"/>
  <c r="C17" i="34"/>
  <c r="C10" i="34"/>
  <c r="C18" i="34"/>
  <c r="L2" i="26"/>
  <c r="G2" i="26"/>
  <c r="J2" i="26"/>
  <c r="E2" i="26" l="1"/>
  <c r="H2" i="26"/>
  <c r="I2" i="26"/>
  <c r="K2" i="26"/>
  <c r="N2" i="26" l="1" a="1"/>
  <c r="M2" i="26" s="1" a="1"/>
  <c r="O2" i="26" a="1"/>
  <c r="P2" i="26" a="1"/>
  <c r="Q2" i="26" s="1" a="1"/>
  <c r="G5" i="20"/>
  <c r="E5" i="20"/>
  <c r="G2" i="33" l="1" a="1"/>
  <c r="J8" i="33" l="1" a="1"/>
  <c r="J11" i="33" a="1"/>
  <c r="J21" i="33" a="1"/>
  <c r="J10" i="33" a="1"/>
  <c r="J23" i="33" a="1"/>
  <c r="G16" i="33" a="1"/>
  <c r="G21" i="33" a="1"/>
  <c r="J17" i="33" a="1"/>
  <c r="J20" i="33" a="1"/>
  <c r="G12" i="33" a="1"/>
  <c r="G22" i="33" a="1"/>
  <c r="G10" i="33" a="1"/>
  <c r="G11" i="33" a="1"/>
  <c r="G17" i="33" a="1"/>
  <c r="G19" i="33" a="1"/>
  <c r="J9" i="33" a="1"/>
  <c r="G7" i="33" a="1"/>
  <c r="J7" i="33" a="1"/>
  <c r="G3" i="33" a="1"/>
  <c r="J15" i="33" a="1"/>
  <c r="G25" i="33" a="1"/>
  <c r="G20" i="33" a="1"/>
  <c r="G13" i="33" a="1"/>
  <c r="G9" i="33" a="1"/>
  <c r="G8" i="33" a="1"/>
  <c r="J12" i="33" a="1"/>
  <c r="K12" i="33" s="1"/>
  <c r="G5" i="33" a="1"/>
  <c r="J3" i="33" a="1"/>
  <c r="G18" i="33" a="1"/>
  <c r="G15" i="33" a="1"/>
  <c r="G24" i="33" a="1"/>
  <c r="J14" i="33" a="1"/>
  <c r="J22" i="33" a="1"/>
  <c r="J2" i="33" a="1"/>
  <c r="K2" i="33" s="1"/>
  <c r="J16" i="33" a="1"/>
  <c r="J4" i="33" a="1"/>
  <c r="J26" i="33" a="1"/>
  <c r="J24" i="33" a="1"/>
  <c r="J5" i="33" a="1"/>
  <c r="J19" i="33" a="1"/>
  <c r="K19" i="33" s="1"/>
  <c r="J18" i="33" a="1"/>
  <c r="J25" i="33" a="1"/>
  <c r="J13" i="33" a="1"/>
  <c r="J6" i="33" a="1"/>
  <c r="G4" i="33" a="1"/>
  <c r="G26" i="33" a="1"/>
  <c r="G14" i="33" a="1"/>
  <c r="G23" i="33" a="1"/>
  <c r="G6" i="33" a="1"/>
  <c r="K18" i="33" l="1"/>
  <c r="K22" i="33"/>
  <c r="K16" i="33"/>
  <c r="K25" i="33"/>
  <c r="K13" i="33"/>
  <c r="K5" i="33"/>
  <c r="H5" i="33" s="1"/>
  <c r="K24" i="33"/>
  <c r="H24" i="33" s="1"/>
  <c r="K3" i="33"/>
  <c r="H3" i="33" s="1"/>
  <c r="I12" i="33"/>
  <c r="H12" i="33"/>
  <c r="H19" i="33"/>
  <c r="I19" i="33"/>
  <c r="I2" i="33"/>
  <c r="H2" i="33"/>
  <c r="K8" i="33"/>
  <c r="K23" i="33"/>
  <c r="K10" i="33"/>
  <c r="K11" i="33"/>
  <c r="K7" i="33"/>
  <c r="K21" i="33"/>
  <c r="K20" i="33"/>
  <c r="K17" i="33"/>
  <c r="K15" i="33"/>
  <c r="K26" i="33"/>
  <c r="K6" i="33"/>
  <c r="K4" i="33"/>
  <c r="K14" i="33"/>
  <c r="K9" i="33"/>
  <c r="I18" i="33" l="1"/>
  <c r="H18" i="33"/>
  <c r="I13" i="33"/>
  <c r="H16" i="33"/>
  <c r="I16" i="33"/>
  <c r="H22" i="33"/>
  <c r="H13" i="33"/>
  <c r="I25" i="33"/>
  <c r="H25" i="33"/>
  <c r="I22" i="33"/>
  <c r="I5" i="33"/>
  <c r="I24" i="33"/>
  <c r="I3" i="33"/>
  <c r="H23" i="33"/>
  <c r="I23" i="33"/>
  <c r="I8" i="33"/>
  <c r="H8" i="33"/>
  <c r="I14" i="33"/>
  <c r="H14" i="33"/>
  <c r="H4" i="33"/>
  <c r="I4" i="33"/>
  <c r="I9" i="33"/>
  <c r="H9" i="33"/>
  <c r="I6" i="33"/>
  <c r="H6" i="33"/>
  <c r="H26" i="33"/>
  <c r="I26" i="33"/>
  <c r="I15" i="33"/>
  <c r="H15" i="33"/>
  <c r="I17" i="33"/>
  <c r="H17" i="33"/>
  <c r="I20" i="33"/>
  <c r="H20" i="33"/>
  <c r="H21" i="33"/>
  <c r="I21" i="33"/>
  <c r="I7" i="33"/>
  <c r="H7" i="33"/>
  <c r="I11" i="33"/>
  <c r="H11" i="33"/>
  <c r="I10" i="33"/>
  <c r="H10" i="3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<sst xmlns="http://schemas.openxmlformats.org/spreadsheetml/2006/main" count="1078" uniqueCount="207">
  <si>
    <t>Design &amp; Engineering</t>
  </si>
  <si>
    <t>Construction</t>
  </si>
  <si>
    <t>Project Management</t>
  </si>
  <si>
    <t>Project Manager</t>
  </si>
  <si>
    <t>Project Engineer</t>
  </si>
  <si>
    <t>Project Coordinator</t>
  </si>
  <si>
    <t xml:space="preserve">Engineering </t>
  </si>
  <si>
    <t>Engineering Manager</t>
  </si>
  <si>
    <t>Construction Monitoring</t>
  </si>
  <si>
    <t>Construction Manager</t>
  </si>
  <si>
    <t>H&amp;S Field</t>
  </si>
  <si>
    <t>H&amp;S Lead</t>
  </si>
  <si>
    <t>Project Controls</t>
  </si>
  <si>
    <t>Estimator</t>
  </si>
  <si>
    <t>Risk Analyst</t>
  </si>
  <si>
    <t>Document Control Specialist</t>
  </si>
  <si>
    <t>Scheduler</t>
  </si>
  <si>
    <t>Scheduling Lead</t>
  </si>
  <si>
    <t>Cost Controls</t>
  </si>
  <si>
    <t>&lt;$50M</t>
  </si>
  <si>
    <t>$50- $100M</t>
  </si>
  <si>
    <t>$100-$500M</t>
  </si>
  <si>
    <t>$500-$1000M</t>
  </si>
  <si>
    <t>$1000M+</t>
  </si>
  <si>
    <t>Solar</t>
  </si>
  <si>
    <t>Planning</t>
  </si>
  <si>
    <t>Closeout</t>
  </si>
  <si>
    <t>BESS</t>
  </si>
  <si>
    <t>Gas</t>
  </si>
  <si>
    <t>Wind</t>
  </si>
  <si>
    <t>Hydro</t>
  </si>
  <si>
    <t>Thermal</t>
  </si>
  <si>
    <t>Biomass</t>
  </si>
  <si>
    <t>Startup</t>
  </si>
  <si>
    <t>Execution</t>
  </si>
  <si>
    <t>% of Program Duration:</t>
  </si>
  <si>
    <t>Resource Title</t>
  </si>
  <si>
    <t>Program Duration</t>
  </si>
  <si>
    <t>Program Director</t>
  </si>
  <si>
    <t>PSCo</t>
  </si>
  <si>
    <t>Program Operations Lead</t>
  </si>
  <si>
    <t>NSP</t>
  </si>
  <si>
    <t>Initiation Lead</t>
  </si>
  <si>
    <t>SPS</t>
  </si>
  <si>
    <t>CM Manager</t>
  </si>
  <si>
    <t>CM SPS Lead</t>
  </si>
  <si>
    <t>CM NSP Lead</t>
  </si>
  <si>
    <t>CM PSCo Lead</t>
  </si>
  <si>
    <t>SPS Engr Lead</t>
  </si>
  <si>
    <t>NSP Engr Lead</t>
  </si>
  <si>
    <t>PSCO Engr Lead</t>
  </si>
  <si>
    <t>PM Manager</t>
  </si>
  <si>
    <t>SPS Pod Lead</t>
  </si>
  <si>
    <t>NSP Pod Lead</t>
  </si>
  <si>
    <t>PSCO Pod Lead</t>
  </si>
  <si>
    <t>PC Manager</t>
  </si>
  <si>
    <t>Cost Estimating Lead</t>
  </si>
  <si>
    <t>Cost Controls Lead</t>
  </si>
  <si>
    <t>Doc Controls Lead</t>
  </si>
  <si>
    <t>PMO Manager</t>
  </si>
  <si>
    <t>QA/QC Lead</t>
  </si>
  <si>
    <t>Resourcing Lead</t>
  </si>
  <si>
    <t>Finance Lead</t>
  </si>
  <si>
    <t>Project Name</t>
  </si>
  <si>
    <t>Resource Category</t>
  </si>
  <si>
    <t>Program Name</t>
  </si>
  <si>
    <t>OpCo</t>
  </si>
  <si>
    <t>ISD</t>
  </si>
  <si>
    <t>Engineering Start</t>
  </si>
  <si>
    <t>Engineering Finish</t>
  </si>
  <si>
    <t>Project Finish</t>
  </si>
  <si>
    <t>Transmission and Distribution</t>
  </si>
  <si>
    <t>Cost ($M)</t>
  </si>
  <si>
    <t>Resource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</si>
  <si>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</si>
  <si>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</si>
  <si>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</si>
  <si>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</si>
  <si>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</si>
  <si>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</si>
  <si>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</si>
  <si>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</si>
  <si>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</si>
  <si>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</si>
  <si>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</si>
  <si>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</si>
  <si>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</si>
  <si>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</si>
  <si>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</si>
  <si>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</si>
  <si>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</si>
  <si>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</si>
  <si>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</si>
  <si>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</si>
  <si>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</si>
  <si>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</si>
  <si>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</si>
  <si>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</si>
  <si>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</si>
  <si>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</si>
  <si>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</si>
  <si>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Assumed Project Duration</t>
  </si>
  <si>
    <t>Portfolio</t>
  </si>
  <si>
    <t>Project Kickoff</t>
  </si>
  <si>
    <t>Final Project Kickoff</t>
  </si>
  <si>
    <t>Final Eng Start</t>
  </si>
  <si>
    <t>Final Eng Finish</t>
  </si>
  <si>
    <t>Final Project Finish</t>
  </si>
  <si>
    <t>Final ISD</t>
  </si>
  <si>
    <t>Linear Assets</t>
  </si>
  <si>
    <t>Startup Date</t>
  </si>
  <si>
    <t>Execution Start Date</t>
  </si>
  <si>
    <t>Closeout Start Date</t>
  </si>
  <si>
    <t>Closeout Date</t>
  </si>
  <si>
    <t>Column1</t>
  </si>
  <si>
    <t>Resource Type</t>
  </si>
  <si>
    <t>Column2</t>
  </si>
  <si>
    <t>Column3</t>
  </si>
  <si>
    <t>Overhead OE Transmission Line Engineer</t>
  </si>
  <si>
    <t>Underground OE Transmission Line Engineer</t>
  </si>
  <si>
    <t>Mechanical Engineer</t>
  </si>
  <si>
    <t>Duration (Months) by Project Archetype / Cost</t>
  </si>
  <si>
    <t>New Archetype 2</t>
  </si>
  <si>
    <t>Project Archetype</t>
  </si>
  <si>
    <t>Program Controls</t>
  </si>
  <si>
    <t>Program Engineering</t>
  </si>
  <si>
    <t>Program Management</t>
  </si>
  <si>
    <t>Program Construction Management</t>
  </si>
  <si>
    <t>New Archetype 1</t>
  </si>
  <si>
    <t>Substation</t>
  </si>
  <si>
    <t>Engineering</t>
  </si>
  <si>
    <t xml:space="preserve"> Mechanical Engineer</t>
  </si>
  <si>
    <t>Civil Engineer</t>
  </si>
  <si>
    <t>OE Substation Grading Engineer</t>
  </si>
  <si>
    <t>P&amp;C System Protection &amp; Settings Engineer</t>
  </si>
  <si>
    <t>*Efficiency Factors have been adjusted to default to the MPG work requirements</t>
  </si>
  <si>
    <t xml:space="preserve">Resourcing Dash &gt; Resources &gt; KPI's &gt; </t>
  </si>
  <si>
    <t>1.1  Populate the Project List on the "Projects" tab and follow instructions at top of page.</t>
  </si>
  <si>
    <t>1.2  Review "Duration Table" tab and follow instructions at top of page.</t>
  </si>
  <si>
    <t>1.3  Review "Program Resources" tab and follow instructions at top of page.</t>
  </si>
  <si>
    <t>1.4  Review Project Archetype tabs (blue tabs) and follow instructions at top of pages.</t>
  </si>
  <si>
    <t>1.  Review and complete all tabs in this workbook</t>
  </si>
  <si>
    <t>3.2  Click the "Upload" icon in the middle of the page and select the saved workbook.</t>
  </si>
  <si>
    <r>
      <t xml:space="preserve">2.  Once the above steps are complete, </t>
    </r>
    <r>
      <rPr>
        <b/>
        <sz val="12"/>
        <color theme="1"/>
        <rFont val="Aptos Narrow"/>
        <family val="2"/>
        <scheme val="minor"/>
      </rPr>
      <t>save this workbook.</t>
    </r>
  </si>
  <si>
    <r>
      <t xml:space="preserve">3.  Open the </t>
    </r>
    <r>
      <rPr>
        <i/>
        <sz val="12"/>
        <color theme="1"/>
        <rFont val="Aptos Narrow"/>
        <family val="2"/>
        <scheme val="minor"/>
      </rPr>
      <t xml:space="preserve">MPG Resourcing App </t>
    </r>
    <r>
      <rPr>
        <sz val="12"/>
        <color theme="1"/>
        <rFont val="Aptos Narrow"/>
        <family val="2"/>
        <scheme val="minor"/>
      </rPr>
      <t>(Link) and upload the saved workbook.</t>
    </r>
  </si>
  <si>
    <t>PROJECT LIST</t>
  </si>
  <si>
    <t>DURATION TABLE</t>
  </si>
  <si>
    <t>PROGRAM RESOURCES</t>
  </si>
  <si>
    <t xml:space="preserve">PROJECT ARCHETYPE: </t>
  </si>
  <si>
    <t>WORKBOOK INSTRUCTIONS</t>
  </si>
  <si>
    <t>1.  The Resource Model contains three tabs for analyzing and visualizing the aggregated resources.</t>
  </si>
  <si>
    <t>3.  Data may be viewed in table format and downloaded as a .csv file below any of the charts</t>
  </si>
  <si>
    <t>4.  Apply Filters to drill down into the data.  Filters will also be applied to the data tables below the charts.</t>
  </si>
  <si>
    <t>3.3. Upon uploading the workbook, the model will take a few minutes to process the data</t>
  </si>
  <si>
    <t>Program</t>
  </si>
  <si>
    <t>Team</t>
  </si>
  <si>
    <t>RESOURCE MODEL INSTRUCTIONS</t>
  </si>
  <si>
    <t>2.  Scaling Factors may be applied to resources to scale them up or down according to project value. A scaling factor less than one indicates less resources are required.  A scaling factor greater than one indicates more resources are required.</t>
  </si>
  <si>
    <t>P&amp;C Automation &amp; Integration Engineer</t>
  </si>
  <si>
    <t>OE Substation Structural Engineer</t>
  </si>
  <si>
    <t>Substation Physical Engineer</t>
  </si>
  <si>
    <t>Substation P&amp;C Detailed Engineer</t>
  </si>
  <si>
    <t>Structural Engineer</t>
  </si>
  <si>
    <t>I&amp;C Engineer</t>
  </si>
  <si>
    <t>Electrical Engineer</t>
  </si>
  <si>
    <t>Geotech Engineer</t>
  </si>
  <si>
    <t>Hydraulics/Hydrology Engineer</t>
  </si>
  <si>
    <t>Highlands Buildout</t>
  </si>
  <si>
    <t>High Plains Intertie</t>
  </si>
  <si>
    <t>Canyon Crest Feeder Upgrade</t>
  </si>
  <si>
    <t>Urban Renewal</t>
  </si>
  <si>
    <t>Summit Crest 115‑kV Station</t>
  </si>
  <si>
    <t>Canyon Winds Energy Center</t>
  </si>
  <si>
    <t>Fixed Assets</t>
  </si>
  <si>
    <t>Crystal Falls Turbine Renewal</t>
  </si>
  <si>
    <t>Southwest Energy Supply</t>
  </si>
  <si>
    <t>Copper Ridge BESS Upgrade</t>
  </si>
  <si>
    <t>High Plains 230‑kV Interconnect</t>
  </si>
  <si>
    <t>Redstone Thermal Repower</t>
  </si>
  <si>
    <t>Circuit 9991</t>
  </si>
  <si>
    <t>Silverline Substation Expansion</t>
  </si>
  <si>
    <t>Aurora Grid Upgrade</t>
  </si>
  <si>
    <t>Canyon Crest CHP Project</t>
  </si>
  <si>
    <t>Desert Bloom Solar Array</t>
  </si>
  <si>
    <t>Urban Gas Upgrades</t>
  </si>
  <si>
    <t>Mesa Valley Gas Reliability</t>
  </si>
  <si>
    <t>Canyon Ridge Substation Expansion</t>
  </si>
  <si>
    <t>Ironhorse Gas Reinforcement</t>
  </si>
  <si>
    <t>Prairie Gale Wind Park</t>
  </si>
  <si>
    <t>Sunridge Solar Farm</t>
  </si>
  <si>
    <t>Riverbend Intake Upgrade</t>
  </si>
  <si>
    <t>Redstone Valley Substation Upgrade</t>
  </si>
  <si>
    <t>Northstar Transmission Loop</t>
  </si>
  <si>
    <t>Horizon Flats Solar Expansion</t>
  </si>
  <si>
    <t>Sagebrush Lateral Extension</t>
  </si>
  <si>
    <t>Timberline Storage Expansion</t>
  </si>
  <si>
    <t>Pioneer Ridge Line Rebuild</t>
  </si>
  <si>
    <t>Frontier Peak Metering Project</t>
  </si>
  <si>
    <t>Golden Mesa Solar Park</t>
  </si>
  <si>
    <t>Northgate Substation Rebuild</t>
  </si>
  <si>
    <t>Redwood Compression Upgrade</t>
  </si>
  <si>
    <t>Skytrail Ridge Wind Project</t>
  </si>
  <si>
    <t>Copper Trail Pipeline Integrity</t>
  </si>
  <si>
    <t>Summit Lake Hydro Expansion</t>
  </si>
  <si>
    <t>3.1  Under "Aggregation", select the time-interval for which you'd like the resource data to be summarized to.    (For example, if "quarter" is selected, each bar in the model's charts will represent one quarter)</t>
  </si>
  <si>
    <t>Resource Forecasting Model Workbook</t>
  </si>
  <si>
    <t>This workbook is intended to be used with the Resource Forecasting Model App found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</si>
</sst>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9C0006"/>
      <name val="Aptos Display"/>
      <family val="2"/>
      <scheme val="major"/>
    </font>
    <font>
      <sz val="11"/>
      <color rgb="FF006100"/>
      <name val="Aptos Display"/>
      <family val="2"/>
      <scheme val="major"/>
    </font>
    <font>
      <sz val="11"/>
      <color rgb="FF9C5700"/>
      <name val="Aptos Display"/>
      <family val="2"/>
      <scheme val="major"/>
    </font>
    <font>
      <b/>
      <sz val="11"/>
      <color rgb="FFFA7D00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i/>
      <sz val="11"/>
      <color rgb="FF7F7F7F"/>
      <name val="Aptos Display"/>
      <family val="2"/>
      <scheme val="major"/>
    </font>
    <font>
      <sz val="11"/>
      <color rgb="FF3F3F76"/>
      <name val="Aptos Display"/>
      <family val="2"/>
      <scheme val="major"/>
    </font>
    <font>
      <sz val="11"/>
      <color rgb="FFFA7D00"/>
      <name val="Aptos Display"/>
      <family val="2"/>
      <scheme val="major"/>
    </font>
    <font>
      <b/>
      <sz val="11"/>
      <color rgb="FF3F3F3F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rgb="FF252423"/>
      <name val="Arial"/>
      <family val="2"/>
    </font>
    <font>
      <u/>
      <sz val="11"/>
      <color theme="1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theme="0" tint="-4.9989318521683403E-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/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9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theme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0" fontId="12" fillId="9" borderId="0" applyNumberFormat="0" applyBorder="0" applyAlignment="0" applyProtection="0"/>
    <xf numFmtId="0" fontId="11" fillId="10" borderId="0" applyNumberFormat="0" applyBorder="0" applyAlignment="0" applyProtection="0"/>
    <xf numFmtId="0" fontId="13" fillId="11" borderId="0" applyNumberFormat="0" applyBorder="0" applyAlignment="0" applyProtection="0"/>
    <xf numFmtId="0" fontId="17" fillId="12" borderId="31" applyNumberFormat="0" applyAlignment="0" applyProtection="0"/>
    <xf numFmtId="0" fontId="19" fillId="13" borderId="32" applyNumberFormat="0" applyAlignment="0" applyProtection="0"/>
    <xf numFmtId="0" fontId="14" fillId="13" borderId="31" applyNumberFormat="0" applyAlignment="0" applyProtection="0"/>
    <xf numFmtId="0" fontId="18" fillId="0" borderId="33" applyNumberFormat="0" applyFill="0" applyAlignment="0" applyProtection="0"/>
    <xf numFmtId="0" fontId="15" fillId="14" borderId="34" applyNumberFormat="0" applyAlignment="0" applyProtection="0"/>
    <xf numFmtId="0" fontId="2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15">
    <xf numFmtId="0" fontId="0" fillId="0" borderId="0" xfId="0"/>
    <xf numFmtId="0" fontId="0" fillId="4" borderId="8" xfId="0" applyFill="1" applyBorder="1" applyAlignment="1">
      <alignment horizontal="right"/>
    </xf>
    <xf numFmtId="0" fontId="0" fillId="4" borderId="8" xfId="0" applyFill="1" applyBorder="1" applyAlignment="1">
      <alignment horizontal="right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right"/>
    </xf>
    <xf numFmtId="0" fontId="6" fillId="4" borderId="0" xfId="0" applyFont="1" applyFill="1"/>
    <xf numFmtId="9" fontId="0" fillId="0" borderId="18" xfId="2" applyFont="1" applyBorder="1" applyAlignment="1">
      <alignment horizontal="center"/>
    </xf>
    <xf numFmtId="9" fontId="0" fillId="0" borderId="21" xfId="2" applyFont="1" applyBorder="1" applyAlignment="1">
      <alignment horizontal="center"/>
    </xf>
    <xf numFmtId="9" fontId="0" fillId="0" borderId="17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17" xfId="2" applyFont="1" applyFill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18" xfId="2" applyFont="1" applyFill="1" applyBorder="1" applyAlignment="1">
      <alignment horizontal="center"/>
    </xf>
    <xf numFmtId="9" fontId="0" fillId="0" borderId="20" xfId="2" applyFont="1" applyBorder="1" applyAlignment="1">
      <alignment horizontal="center"/>
    </xf>
    <xf numFmtId="0" fontId="0" fillId="0" borderId="21" xfId="0" applyBorder="1" applyAlignment="1">
      <alignment horizontal="center"/>
    </xf>
    <xf numFmtId="9" fontId="0" fillId="0" borderId="22" xfId="2" applyFont="1" applyFill="1" applyBorder="1" applyAlignment="1">
      <alignment horizontal="center"/>
    </xf>
    <xf numFmtId="0" fontId="0" fillId="4" borderId="0" xfId="0" applyFill="1" applyAlignment="1">
      <alignment horizontal="right" indent="1"/>
    </xf>
    <xf numFmtId="0" fontId="2" fillId="7" borderId="13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9" fontId="0" fillId="0" borderId="14" xfId="2" applyFont="1" applyFill="1" applyBorder="1" applyAlignment="1">
      <alignment horizontal="center"/>
    </xf>
    <xf numFmtId="9" fontId="0" fillId="0" borderId="15" xfId="2" applyFont="1" applyFill="1" applyBorder="1" applyAlignment="1">
      <alignment horizontal="center"/>
    </xf>
    <xf numFmtId="0" fontId="7" fillId="4" borderId="0" xfId="0" applyFont="1" applyFill="1"/>
    <xf numFmtId="0" fontId="2" fillId="4" borderId="0" xfId="0" applyFont="1" applyFill="1"/>
    <xf numFmtId="0" fontId="0" fillId="4" borderId="0" xfId="0" applyFill="1" applyAlignment="1">
      <alignment vertical="top" wrapText="1"/>
    </xf>
    <xf numFmtId="0" fontId="0" fillId="4" borderId="0" xfId="0" applyFill="1" applyAlignment="1">
      <alignment vertical="top"/>
    </xf>
    <xf numFmtId="0" fontId="0" fillId="4" borderId="27" xfId="0" applyFill="1" applyBorder="1" applyAlignment="1">
      <alignment horizontal="right"/>
    </xf>
    <xf numFmtId="0" fontId="0" fillId="4" borderId="24" xfId="0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0" fontId="9" fillId="4" borderId="0" xfId="0" applyFont="1" applyFill="1" applyAlignment="1">
      <alignment horizontal="right"/>
    </xf>
    <xf numFmtId="9" fontId="0" fillId="0" borderId="22" xfId="2" applyFont="1" applyBorder="1" applyAlignment="1">
      <alignment horizontal="center"/>
    </xf>
    <xf numFmtId="9" fontId="0" fillId="0" borderId="0" xfId="2" applyFont="1" applyAlignment="1">
      <alignment horizontal="center"/>
    </xf>
    <xf numFmtId="0" fontId="2" fillId="2" borderId="15" xfId="0" applyFont="1" applyFill="1" applyBorder="1" applyAlignment="1">
      <alignment horizontal="center"/>
    </xf>
    <xf numFmtId="9" fontId="0" fillId="0" borderId="13" xfId="2" applyFont="1" applyBorder="1" applyAlignment="1">
      <alignment horizontal="center"/>
    </xf>
    <xf numFmtId="9" fontId="0" fillId="0" borderId="14" xfId="2" applyFont="1" applyBorder="1" applyAlignment="1">
      <alignment horizontal="center"/>
    </xf>
    <xf numFmtId="9" fontId="0" fillId="0" borderId="15" xfId="2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13" xfId="2" applyFont="1" applyFill="1" applyBorder="1" applyAlignment="1">
      <alignment horizontal="center"/>
    </xf>
    <xf numFmtId="0" fontId="4" fillId="8" borderId="4" xfId="0" applyFont="1" applyFill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0" xfId="0" applyFill="1" applyAlignment="1">
      <alignment horizontal="center"/>
    </xf>
    <xf numFmtId="0" fontId="2" fillId="6" borderId="14" xfId="0" applyFont="1" applyFill="1" applyBorder="1" applyAlignment="1">
      <alignment horizontal="center"/>
    </xf>
    <xf numFmtId="14" fontId="0" fillId="0" borderId="0" xfId="0" applyNumberFormat="1"/>
    <xf numFmtId="0" fontId="4" fillId="2" borderId="1" xfId="0" applyFont="1" applyFill="1" applyBorder="1"/>
    <xf numFmtId="0" fontId="4" fillId="2" borderId="2" xfId="0" applyFont="1" applyFill="1" applyBorder="1"/>
    <xf numFmtId="14" fontId="4" fillId="2" borderId="2" xfId="0" applyNumberFormat="1" applyFont="1" applyFill="1" applyBorder="1"/>
    <xf numFmtId="0" fontId="2" fillId="4" borderId="36" xfId="0" applyFont="1" applyFill="1" applyBorder="1" applyAlignment="1">
      <alignment wrapText="1"/>
    </xf>
    <xf numFmtId="0" fontId="2" fillId="4" borderId="37" xfId="0" applyFont="1" applyFill="1" applyBorder="1" applyAlignment="1">
      <alignment wrapText="1"/>
    </xf>
    <xf numFmtId="0" fontId="2" fillId="4" borderId="38" xfId="0" applyFont="1" applyFill="1" applyBorder="1" applyAlignment="1">
      <alignment wrapText="1"/>
    </xf>
    <xf numFmtId="0" fontId="2" fillId="2" borderId="39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6" borderId="2" xfId="0" applyFont="1" applyFill="1" applyBorder="1"/>
    <xf numFmtId="0" fontId="4" fillId="8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0" fillId="0" borderId="18" xfId="0" applyBorder="1" applyAlignment="1">
      <alignment horizontal="right"/>
    </xf>
    <xf numFmtId="0" fontId="5" fillId="3" borderId="1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4" fontId="5" fillId="2" borderId="2" xfId="0" applyNumberFormat="1" applyFont="1" applyFill="1" applyBorder="1" applyAlignment="1">
      <alignment horizontal="center"/>
    </xf>
    <xf numFmtId="0" fontId="5" fillId="2" borderId="3" xfId="0" applyFont="1" applyFill="1" applyBorder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0" fillId="16" borderId="41" xfId="1" applyNumberFormat="1" applyFont="1" applyFill="1" applyBorder="1" applyAlignment="1">
      <alignment horizontal="center" vertical="center"/>
    </xf>
    <xf numFmtId="0" fontId="0" fillId="16" borderId="42" xfId="1" applyNumberFormat="1" applyFont="1" applyFill="1" applyBorder="1" applyAlignment="1">
      <alignment horizontal="center" vertical="center"/>
    </xf>
    <xf numFmtId="0" fontId="0" fillId="16" borderId="43" xfId="1" applyNumberFormat="1" applyFont="1" applyFill="1" applyBorder="1" applyAlignment="1">
      <alignment horizontal="center" vertical="center"/>
    </xf>
    <xf numFmtId="0" fontId="0" fillId="16" borderId="10" xfId="1" applyNumberFormat="1" applyFont="1" applyFill="1" applyBorder="1" applyAlignment="1">
      <alignment horizontal="center" vertical="center"/>
    </xf>
    <xf numFmtId="0" fontId="0" fillId="16" borderId="9" xfId="1" applyNumberFormat="1" applyFont="1" applyFill="1" applyBorder="1" applyAlignment="1">
      <alignment horizontal="center" vertical="center"/>
    </xf>
    <xf numFmtId="0" fontId="0" fillId="16" borderId="11" xfId="1" applyNumberFormat="1" applyFont="1" applyFill="1" applyBorder="1" applyAlignment="1">
      <alignment horizontal="center" vertical="center"/>
    </xf>
    <xf numFmtId="0" fontId="0" fillId="16" borderId="9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0" fillId="16" borderId="25" xfId="1" applyNumberFormat="1" applyFont="1" applyFill="1" applyBorder="1" applyAlignment="1">
      <alignment horizontal="center" vertical="center"/>
    </xf>
    <xf numFmtId="0" fontId="0" fillId="16" borderId="12" xfId="1" applyNumberFormat="1" applyFont="1" applyFill="1" applyBorder="1" applyAlignment="1">
      <alignment horizontal="center" vertical="center"/>
    </xf>
    <xf numFmtId="0" fontId="0" fillId="16" borderId="26" xfId="1" applyNumberFormat="1" applyFont="1" applyFill="1" applyBorder="1" applyAlignment="1">
      <alignment horizontal="center" vertical="center"/>
    </xf>
    <xf numFmtId="0" fontId="0" fillId="16" borderId="28" xfId="1" applyNumberFormat="1" applyFont="1" applyFill="1" applyBorder="1" applyAlignment="1">
      <alignment horizontal="center" vertical="center"/>
    </xf>
    <xf numFmtId="0" fontId="0" fillId="16" borderId="29" xfId="1" applyNumberFormat="1" applyFont="1" applyFill="1" applyBorder="1" applyAlignment="1">
      <alignment horizontal="center" vertical="center"/>
    </xf>
    <xf numFmtId="0" fontId="0" fillId="16" borderId="30" xfId="1" applyNumberFormat="1" applyFont="1" applyFill="1" applyBorder="1" applyAlignment="1">
      <alignment horizontal="center" vertical="center"/>
    </xf>
    <xf numFmtId="9" fontId="0" fillId="0" borderId="20" xfId="2" applyFont="1" applyFill="1" applyBorder="1" applyAlignment="1">
      <alignment horizontal="center"/>
    </xf>
    <xf numFmtId="9" fontId="0" fillId="0" borderId="21" xfId="2" applyFont="1" applyFill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4" borderId="21" xfId="0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8" borderId="4" xfId="0" applyFont="1" applyFill="1" applyBorder="1" applyAlignment="1">
      <alignment horizontal="right"/>
    </xf>
    <xf numFmtId="0" fontId="0" fillId="4" borderId="21" xfId="0" applyFill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4" borderId="19" xfId="0" applyFill="1" applyBorder="1" applyAlignment="1">
      <alignment horizontal="right"/>
    </xf>
    <xf numFmtId="9" fontId="21" fillId="0" borderId="13" xfId="2" applyFont="1" applyBorder="1" applyAlignment="1">
      <alignment horizontal="center"/>
    </xf>
    <xf numFmtId="9" fontId="21" fillId="0" borderId="14" xfId="2" applyFont="1" applyBorder="1" applyAlignment="1">
      <alignment horizontal="center"/>
    </xf>
    <xf numFmtId="9" fontId="21" fillId="0" borderId="15" xfId="2" applyFont="1" applyBorder="1" applyAlignment="1">
      <alignment horizontal="center"/>
    </xf>
    <xf numFmtId="9" fontId="21" fillId="0" borderId="14" xfId="0" applyNumberFormat="1" applyFont="1" applyBorder="1" applyAlignment="1">
      <alignment horizontal="center"/>
    </xf>
    <xf numFmtId="9" fontId="21" fillId="0" borderId="15" xfId="0" applyNumberFormat="1" applyFont="1" applyBorder="1" applyAlignment="1">
      <alignment horizontal="center"/>
    </xf>
    <xf numFmtId="9" fontId="21" fillId="0" borderId="17" xfId="2" applyFont="1" applyBorder="1" applyAlignment="1">
      <alignment horizontal="center"/>
    </xf>
    <xf numFmtId="9" fontId="21" fillId="0" borderId="0" xfId="2" applyFont="1" applyBorder="1" applyAlignment="1">
      <alignment horizontal="center"/>
    </xf>
    <xf numFmtId="9" fontId="21" fillId="0" borderId="18" xfId="2" applyFont="1" applyBorder="1" applyAlignment="1">
      <alignment horizontal="center"/>
    </xf>
    <xf numFmtId="9" fontId="21" fillId="0" borderId="0" xfId="0" applyNumberFormat="1" applyFont="1" applyAlignment="1">
      <alignment horizontal="center"/>
    </xf>
    <xf numFmtId="9" fontId="21" fillId="0" borderId="18" xfId="0" applyNumberFormat="1" applyFont="1" applyBorder="1" applyAlignment="1">
      <alignment horizontal="center"/>
    </xf>
    <xf numFmtId="9" fontId="21" fillId="0" borderId="20" xfId="2" applyFont="1" applyBorder="1" applyAlignment="1">
      <alignment horizontal="center"/>
    </xf>
    <xf numFmtId="9" fontId="21" fillId="0" borderId="21" xfId="2" applyFont="1" applyBorder="1" applyAlignment="1">
      <alignment horizontal="center"/>
    </xf>
    <xf numFmtId="9" fontId="21" fillId="0" borderId="22" xfId="2" applyFont="1" applyBorder="1" applyAlignment="1">
      <alignment horizontal="center"/>
    </xf>
    <xf numFmtId="9" fontId="21" fillId="0" borderId="21" xfId="0" applyNumberFormat="1" applyFont="1" applyBorder="1" applyAlignment="1">
      <alignment horizontal="center"/>
    </xf>
    <xf numFmtId="9" fontId="21" fillId="0" borderId="22" xfId="0" applyNumberFormat="1" applyFont="1" applyBorder="1" applyAlignment="1">
      <alignment horizontal="center"/>
    </xf>
    <xf numFmtId="9" fontId="21" fillId="0" borderId="13" xfId="0" applyNumberFormat="1" applyFont="1" applyBorder="1" applyAlignment="1">
      <alignment horizontal="center"/>
    </xf>
    <xf numFmtId="9" fontId="21" fillId="0" borderId="17" xfId="0" applyNumberFormat="1" applyFont="1" applyBorder="1" applyAlignment="1">
      <alignment horizontal="center"/>
    </xf>
    <xf numFmtId="9" fontId="21" fillId="0" borderId="20" xfId="0" applyNumberFormat="1" applyFont="1" applyBorder="1" applyAlignment="1">
      <alignment horizontal="center"/>
    </xf>
    <xf numFmtId="0" fontId="4" fillId="8" borderId="44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right"/>
    </xf>
    <xf numFmtId="0" fontId="4" fillId="8" borderId="46" xfId="0" applyFont="1" applyFill="1" applyBorder="1" applyAlignment="1">
      <alignment horizontal="center"/>
    </xf>
    <xf numFmtId="0" fontId="4" fillId="8" borderId="45" xfId="0" applyFont="1" applyFill="1" applyBorder="1" applyAlignment="1">
      <alignment horizontal="right"/>
    </xf>
    <xf numFmtId="164" fontId="0" fillId="4" borderId="0" xfId="0" applyNumberFormat="1" applyFill="1" applyAlignment="1">
      <alignment horizontal="center"/>
    </xf>
    <xf numFmtId="164" fontId="0" fillId="4" borderId="0" xfId="2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23" fillId="4" borderId="0" xfId="0" applyFont="1" applyFill="1"/>
    <xf numFmtId="0" fontId="4" fillId="4" borderId="2" xfId="0" applyFont="1" applyFill="1" applyBorder="1"/>
    <xf numFmtId="0" fontId="23" fillId="17" borderId="12" xfId="0" applyFont="1" applyFill="1" applyBorder="1" applyAlignment="1">
      <alignment horizontal="left" indent="1"/>
    </xf>
    <xf numFmtId="0" fontId="23" fillId="17" borderId="6" xfId="0" applyFont="1" applyFill="1" applyBorder="1" applyAlignment="1">
      <alignment horizontal="left" indent="3"/>
    </xf>
    <xf numFmtId="0" fontId="23" fillId="17" borderId="6" xfId="0" applyFont="1" applyFill="1" applyBorder="1" applyAlignment="1">
      <alignment horizontal="left" indent="1"/>
    </xf>
    <xf numFmtId="0" fontId="23" fillId="17" borderId="6" xfId="0" applyFont="1" applyFill="1" applyBorder="1"/>
    <xf numFmtId="0" fontId="23" fillId="17" borderId="6" xfId="0" applyFont="1" applyFill="1" applyBorder="1" applyAlignment="1">
      <alignment horizontal="left"/>
    </xf>
    <xf numFmtId="0" fontId="23" fillId="17" borderId="6" xfId="0" applyFont="1" applyFill="1" applyBorder="1" applyAlignment="1">
      <alignment horizontal="left" indent="2"/>
    </xf>
    <xf numFmtId="0" fontId="4" fillId="17" borderId="6" xfId="0" applyFont="1" applyFill="1" applyBorder="1" applyAlignment="1">
      <alignment horizontal="left"/>
    </xf>
    <xf numFmtId="0" fontId="23" fillId="17" borderId="47" xfId="0" applyFont="1" applyFill="1" applyBorder="1"/>
    <xf numFmtId="0" fontId="26" fillId="4" borderId="0" xfId="0" applyFont="1" applyFill="1" applyAlignment="1">
      <alignment horizontal="right"/>
    </xf>
    <xf numFmtId="0" fontId="26" fillId="4" borderId="0" xfId="0" applyFont="1" applyFill="1" applyAlignment="1">
      <alignment horizontal="center"/>
    </xf>
    <xf numFmtId="0" fontId="0" fillId="0" borderId="10" xfId="0" applyBorder="1" applyAlignment="1">
      <alignment horizontal="right"/>
    </xf>
    <xf numFmtId="0" fontId="0" fillId="0" borderId="28" xfId="0" applyBorder="1" applyAlignment="1">
      <alignment horizontal="right"/>
    </xf>
    <xf numFmtId="0" fontId="23" fillId="17" borderId="6" xfId="0" applyFont="1" applyFill="1" applyBorder="1" applyAlignment="1">
      <alignment wrapText="1"/>
    </xf>
    <xf numFmtId="0" fontId="23" fillId="17" borderId="6" xfId="0" applyFont="1" applyFill="1" applyBorder="1" applyAlignment="1">
      <alignment horizontal="left" wrapText="1" indent="1"/>
    </xf>
    <xf numFmtId="0" fontId="23" fillId="17" borderId="6" xfId="0" applyFont="1" applyFill="1" applyBorder="1" applyAlignment="1">
      <alignment horizontal="left" wrapText="1" indent="3"/>
    </xf>
    <xf numFmtId="0" fontId="0" fillId="0" borderId="15" xfId="0" applyBorder="1" applyAlignment="1">
      <alignment horizontal="right"/>
    </xf>
    <xf numFmtId="0" fontId="0" fillId="0" borderId="22" xfId="0" applyBorder="1" applyAlignment="1">
      <alignment horizontal="right"/>
    </xf>
    <xf numFmtId="9" fontId="0" fillId="4" borderId="0" xfId="2" applyFont="1" applyFill="1" applyAlignment="1">
      <alignment horizontal="center" vertical="center"/>
    </xf>
    <xf numFmtId="0" fontId="5" fillId="3" borderId="17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3" xfId="2" applyFon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9" fontId="0" fillId="4" borderId="0" xfId="0" applyNumberFormat="1" applyFill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48" xfId="0" applyFont="1" applyFill="1" applyBorder="1"/>
    <xf numFmtId="0" fontId="3" fillId="4" borderId="0" xfId="0" applyFont="1" applyFill="1" applyAlignment="1">
      <alignment horizontal="right"/>
    </xf>
    <xf numFmtId="0" fontId="27" fillId="0" borderId="0" xfId="0" applyFont="1" applyAlignment="1">
      <alignment horizontal="left" vertical="center" wrapText="1" readingOrder="1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49" xfId="0" applyNumberFormat="1" applyBorder="1"/>
    <xf numFmtId="0" fontId="0" fillId="0" borderId="0" xfId="0" applyAlignment="1">
      <alignment horizontal="left"/>
    </xf>
    <xf numFmtId="0" fontId="10" fillId="0" borderId="0" xfId="3" applyAlignment="1">
      <alignment wrapText="1"/>
    </xf>
    <xf numFmtId="0" fontId="26" fillId="4" borderId="18" xfId="0" applyFont="1" applyFill="1" applyBorder="1" applyAlignment="1">
      <alignment horizontal="right"/>
    </xf>
    <xf numFmtId="9" fontId="21" fillId="0" borderId="20" xfId="2" applyFont="1" applyFill="1" applyBorder="1" applyAlignment="1">
      <alignment horizontal="center"/>
    </xf>
    <xf numFmtId="9" fontId="21" fillId="0" borderId="21" xfId="2" applyFont="1" applyFill="1" applyBorder="1" applyAlignment="1">
      <alignment horizontal="center"/>
    </xf>
    <xf numFmtId="9" fontId="21" fillId="0" borderId="22" xfId="2" applyFont="1" applyFill="1" applyBorder="1" applyAlignment="1">
      <alignment horizontal="center"/>
    </xf>
    <xf numFmtId="0" fontId="28" fillId="4" borderId="0" xfId="15" applyFill="1"/>
    <xf numFmtId="0" fontId="8" fillId="16" borderId="1" xfId="0" applyFont="1" applyFill="1" applyBorder="1" applyAlignment="1">
      <alignment horizontal="left"/>
    </xf>
    <xf numFmtId="0" fontId="8" fillId="16" borderId="2" xfId="0" applyFont="1" applyFill="1" applyBorder="1" applyAlignment="1">
      <alignment horizontal="left"/>
    </xf>
    <xf numFmtId="0" fontId="8" fillId="16" borderId="3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24" fillId="4" borderId="0" xfId="0" applyFont="1" applyFill="1" applyAlignment="1">
      <alignment horizontal="left"/>
    </xf>
    <xf numFmtId="0" fontId="28" fillId="4" borderId="0" xfId="15" applyFill="1" applyAlignment="1">
      <alignment horizontal="left"/>
    </xf>
    <xf numFmtId="0" fontId="26" fillId="17" borderId="1" xfId="0" applyFont="1" applyFill="1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26" fillId="17" borderId="3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right"/>
    </xf>
    <xf numFmtId="0" fontId="2" fillId="4" borderId="23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6" fillId="17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</cellXfs>
  <cellStyles count="16">
    <cellStyle name="Bad 2" xfId="5" xr:uid="{A4C9F728-52B9-4722-B88A-2D8C59357473}"/>
    <cellStyle name="Calculation 2" xfId="9" xr:uid="{EF98E3A8-6068-4B0F-82B5-1DABBDC6E47A}"/>
    <cellStyle name="Check Cell 2" xfId="11" xr:uid="{3A54B395-1735-4C45-A02B-B9577721DEAB}"/>
    <cellStyle name="Currency" xfId="1" builtinId="4"/>
    <cellStyle name="Explanatory Text 2" xfId="13" xr:uid="{0220510C-2A29-4C72-BFF7-EA83A4487773}"/>
    <cellStyle name="Good 2" xfId="4" xr:uid="{611A7511-FCBF-4804-8045-E8DA01041D0B}"/>
    <cellStyle name="Hyperlink" xfId="15" builtinId="8"/>
    <cellStyle name="Input 2" xfId="7" xr:uid="{09F956B4-B01A-4A10-AC1A-48587804CD86}"/>
    <cellStyle name="Linked Cell 2" xfId="10" xr:uid="{849CF9A4-82A7-4221-B7D7-073B602FAFC5}"/>
    <cellStyle name="Neutral 2" xfId="6" xr:uid="{9D822E44-816D-4F35-80FC-CCFA63BE55BB}"/>
    <cellStyle name="Normal" xfId="0" builtinId="0"/>
    <cellStyle name="Normal 2" xfId="3" xr:uid="{47037143-A438-4996-90D8-BE40930B3F78}"/>
    <cellStyle name="Output 2" xfId="8" xr:uid="{75129C87-2D24-4EFF-9A28-91104D66BC7A}"/>
    <cellStyle name="Percent" xfId="2" builtinId="5"/>
    <cellStyle name="Percent 2" xfId="14" xr:uid="{91100B05-DFF5-4D13-B3B7-C652C640D343}"/>
    <cellStyle name="Warning Text 2" xfId="12" xr:uid="{5BEF79C9-55B6-446A-BF89-D6BAF61B5A42}"/>
  </cellStyles>
  <dxfs count="370">
    <dxf>
      <font>
        <color rgb="FF9C0006"/>
      </font>
      <fill>
        <patternFill>
          <bgColor rgb="FFFFC7CE"/>
        </patternFill>
      </fill>
    </dxf>
    <dxf>
      <fill>
        <patternFill>
          <bgColor rgb="FFFFABAB"/>
        </patternFill>
      </fill>
    </dxf>
    <dxf>
      <fill>
        <patternFill>
          <bgColor rgb="FFFF9B9B"/>
        </patternFill>
      </fill>
    </dxf>
    <dxf>
      <fill>
        <patternFill>
          <fgColor rgb="FFFFA3A3"/>
          <bgColor rgb="FFFF9B9B"/>
        </patternFill>
      </fill>
    </dxf>
    <dxf>
      <fill>
        <patternFill>
          <bgColor rgb="FFFF9393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9B9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>
        <right style="medium">
          <color indexed="64"/>
        </right>
      </border>
    </dxf>
    <dxf>
      <alignment horizontal="right" vertical="bottom" textRotation="0" wrapText="0" indent="0" justifyLastLine="0" shrinkToFit="0" readingOrder="0"/>
      <border outline="0">
        <right style="medium">
          <color indexed="64"/>
        </right>
      </border>
    </dxf>
    <dxf>
      <border outline="0">
        <left style="medium">
          <color rgb="FF000000"/>
        </left>
        <right style="medium">
          <color rgb="FF000000"/>
        </right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right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wrapText="0" relativeIndent="-1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right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wrapText="0" relativeIndent="-1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sz val="10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right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right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</border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wrapText="0" indent="0" justifyLastLine="0" shrinkToFit="0" readingOrder="0"/>
      <border outline="0">
        <right style="medium">
          <color indexed="64"/>
        </right>
      </border>
    </dxf>
    <dxf>
      <border outline="0">
        <left style="medium">
          <color rgb="FF000000"/>
        </left>
        <right style="medium">
          <color rgb="FF000000"/>
        </right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B9B"/>
      <color rgb="FFFF9393"/>
      <color rgb="FF93F48C"/>
      <color rgb="FFFFABAB"/>
      <color rgb="FFFFA3A3"/>
      <color rgb="FFFFA7A7"/>
      <color rgb="FFFFB9B9"/>
      <color rgb="FFFFD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720436</xdr:colOff>
      <xdr:row>52</xdr:row>
      <xdr:rowOff>180108</xdr:rowOff>
    </xdr:from>
    <xdr:to>
      <xdr:col>3</xdr:col>
      <xdr:colOff>7967636</xdr:colOff>
      <xdr:row>71</xdr:row>
      <xdr:rowOff>193683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ED685C-4B73-92DA-9C06-38D421073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7691" y="11554690"/>
          <a:ext cx="7252915" cy="3836217"/>
        </a:xfrm>
        <a:prstGeom prst="rect">
          <a:avLst/>
        </a:prstGeom>
      </xdr:spPr>
    </xdr:pic>
    <xdr:clientData/>
  </xdr:twoCellAnchor>
  <xdr:twoCellAnchor>
    <xdr:from>
      <xdr:col>1</xdr:col>
      <xdr:colOff>686493</xdr:colOff>
      <xdr:row>13</xdr:row>
      <xdr:rowOff>187561</xdr:rowOff>
    </xdr:from>
    <xdr:to>
      <xdr:col>1</xdr:col>
      <xdr:colOff>5445183</xdr:colOff>
      <xdr:row>23</xdr:row>
      <xdr:rowOff>186315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2EA07A56-CDCF-223C-A509-E8C47E1A26AC}"/>
            </a:ext>
          </a:extLst>
        </xdr:cNvPr>
        <xdr:cNvGrpSpPr/>
      </xdr:nvGrpSpPr>
      <xdr:grpSpPr>
        <a:xfrm>
          <a:off x="1296093" y="3332543"/>
          <a:ext cx="4758690" cy="2201627"/>
          <a:chOff x="1226821" y="3232444"/>
          <a:chExt cx="4754880" cy="1972334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D40CAA11-4075-F8FD-49CF-9628741E97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26821" y="3232444"/>
            <a:ext cx="4754880" cy="1972334"/>
          </a:xfrm>
          <a:prstGeom prst="rect">
            <a:avLst/>
          </a:prstGeom>
        </xdr:spPr>
      </xdr:pic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5E8C5D92-3B9C-0EF0-EFD1-44097CB7FD5F}"/>
              </a:ext>
            </a:extLst>
          </xdr:cNvPr>
          <xdr:cNvSpPr/>
        </xdr:nvSpPr>
        <xdr:spPr>
          <a:xfrm>
            <a:off x="1350139" y="4328160"/>
            <a:ext cx="1409700" cy="43434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3</xdr:col>
      <xdr:colOff>193273</xdr:colOff>
      <xdr:row>6</xdr:row>
      <xdr:rowOff>119149</xdr:rowOff>
    </xdr:from>
    <xdr:to>
      <xdr:col>3</xdr:col>
      <xdr:colOff>2784714</xdr:colOff>
      <xdr:row>15</xdr:row>
      <xdr:rowOff>34118</xdr:rowOff>
    </xdr:to>
    <xdr:pic>
      <xdr:nvPicPr>
        <xdr:cNvPr id="3" name="Picture 2" descr="The image is a line chart displaying a decreasing trend in cumulative hours worked over time, indicating a reduction in active projects or hours invested in the Xcel MPG program.&#10;&#10;AI-generated content may be incorrect.">
          <a:extLst>
            <a:ext uri="{FF2B5EF4-FFF2-40B4-BE49-F238E27FC236}">
              <a16:creationId xmlns:a16="http://schemas.microsoft.com/office/drawing/2014/main" id="{32D7B535-FCD9-315A-F07B-C1CF68508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60528" y="1864822"/>
          <a:ext cx="2599061" cy="1903616"/>
        </a:xfrm>
        <a:prstGeom prst="rect">
          <a:avLst/>
        </a:prstGeom>
      </xdr:spPr>
    </xdr:pic>
    <xdr:clientData/>
  </xdr:twoCellAnchor>
  <xdr:twoCellAnchor editAs="oneCell">
    <xdr:from>
      <xdr:col>3</xdr:col>
      <xdr:colOff>2874129</xdr:colOff>
      <xdr:row>6</xdr:row>
      <xdr:rowOff>119147</xdr:rowOff>
    </xdr:from>
    <xdr:to>
      <xdr:col>3</xdr:col>
      <xdr:colOff>5528094</xdr:colOff>
      <xdr:row>15</xdr:row>
      <xdr:rowOff>34116</xdr:rowOff>
    </xdr:to>
    <xdr:pic>
      <xdr:nvPicPr>
        <xdr:cNvPr id="4" name="Picture 3" descr="The image displays a stacked bar chart illustrating the distribution of Full-Time Equivalent (FTE) requirements across various engineering roles for Xcel Energy's projects from 2026 to 2031.&#10;&#10;AI-generated content may be incorrect.">
          <a:extLst>
            <a:ext uri="{FF2B5EF4-FFF2-40B4-BE49-F238E27FC236}">
              <a16:creationId xmlns:a16="http://schemas.microsoft.com/office/drawing/2014/main" id="{42C46498-A336-94B2-68EF-10D783060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41384" y="1864820"/>
          <a:ext cx="2655870" cy="1903616"/>
        </a:xfrm>
        <a:prstGeom prst="rect">
          <a:avLst/>
        </a:prstGeom>
      </xdr:spPr>
    </xdr:pic>
    <xdr:clientData/>
  </xdr:twoCellAnchor>
  <xdr:twoCellAnchor editAs="oneCell">
    <xdr:from>
      <xdr:col>3</xdr:col>
      <xdr:colOff>5610400</xdr:colOff>
      <xdr:row>6</xdr:row>
      <xdr:rowOff>119146</xdr:rowOff>
    </xdr:from>
    <xdr:to>
      <xdr:col>3</xdr:col>
      <xdr:colOff>8225270</xdr:colOff>
      <xdr:row>15</xdr:row>
      <xdr:rowOff>34738</xdr:rowOff>
    </xdr:to>
    <xdr:pic>
      <xdr:nvPicPr>
        <xdr:cNvPr id="5" name="Picture 4" descr="The diagram displays a line chart with time on the x-axis (from 2026 to 2031) and the number of active projects on the y-axis, showing a downward trend in active projects over time.&#10;&#10;AI-generated content may be incorrect.">
          <a:extLst>
            <a:ext uri="{FF2B5EF4-FFF2-40B4-BE49-F238E27FC236}">
              <a16:creationId xmlns:a16="http://schemas.microsoft.com/office/drawing/2014/main" id="{A319240A-266E-80B8-0EA7-2F919121D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77655" y="1864819"/>
          <a:ext cx="2681545" cy="1898524"/>
        </a:xfrm>
        <a:prstGeom prst="rect">
          <a:avLst/>
        </a:prstGeom>
      </xdr:spPr>
    </xdr:pic>
    <xdr:clientData/>
  </xdr:twoCellAnchor>
  <xdr:twoCellAnchor>
    <xdr:from>
      <xdr:col>3</xdr:col>
      <xdr:colOff>581891</xdr:colOff>
      <xdr:row>38</xdr:row>
      <xdr:rowOff>96982</xdr:rowOff>
    </xdr:from>
    <xdr:to>
      <xdr:col>3</xdr:col>
      <xdr:colOff>7917873</xdr:colOff>
      <xdr:row>50</xdr:row>
      <xdr:rowOff>34636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7AF9CDD7-18C9-E73F-5735-2919EE42A75F}"/>
            </a:ext>
          </a:extLst>
        </xdr:cNvPr>
        <xdr:cNvGrpSpPr/>
      </xdr:nvGrpSpPr>
      <xdr:grpSpPr>
        <a:xfrm>
          <a:off x="8749146" y="8458200"/>
          <a:ext cx="7335982" cy="2348345"/>
          <a:chOff x="8749146" y="8472055"/>
          <a:chExt cx="7335982" cy="2348345"/>
        </a:xfrm>
      </xdr:grpSpPr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98470716-222A-DE3D-CDEE-84BFA10C9DF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/>
          <a:srcRect l="2448" r="1536"/>
          <a:stretch>
            <a:fillRect/>
          </a:stretch>
        </xdr:blipFill>
        <xdr:spPr>
          <a:xfrm>
            <a:off x="8749146" y="8472055"/>
            <a:ext cx="7335982" cy="2348345"/>
          </a:xfrm>
          <a:prstGeom prst="rect">
            <a:avLst/>
          </a:prstGeom>
        </xdr:spPr>
      </xdr:pic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B63C233C-6FDA-2CF9-5FA7-546C2FBC1F0E}"/>
              </a:ext>
            </a:extLst>
          </xdr:cNvPr>
          <xdr:cNvSpPr/>
        </xdr:nvSpPr>
        <xdr:spPr>
          <a:xfrm>
            <a:off x="8846127" y="9531928"/>
            <a:ext cx="942110" cy="28401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97C5569-8F4D-4C9E-B0B8-208CD0A28ABE}"/>
              </a:ext>
            </a:extLst>
          </xdr:cNvPr>
          <xdr:cNvSpPr/>
        </xdr:nvSpPr>
        <xdr:spPr>
          <a:xfrm>
            <a:off x="8846127" y="9850583"/>
            <a:ext cx="7169728" cy="96289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A1398D28-EBBB-46F4-970C-ABDF7EF82774}"/>
              </a:ext>
            </a:extLst>
          </xdr:cNvPr>
          <xdr:cNvSpPr/>
        </xdr:nvSpPr>
        <xdr:spPr>
          <a:xfrm>
            <a:off x="15454746" y="9684328"/>
            <a:ext cx="180110" cy="145473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706581</xdr:colOff>
      <xdr:row>52</xdr:row>
      <xdr:rowOff>193963</xdr:rowOff>
    </xdr:from>
    <xdr:to>
      <xdr:col>3</xdr:col>
      <xdr:colOff>2258290</xdr:colOff>
      <xdr:row>71</xdr:row>
      <xdr:rowOff>193963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A229700-1BC3-D7BC-1B5A-61AF1412D04E}"/>
            </a:ext>
          </a:extLst>
        </xdr:cNvPr>
        <xdr:cNvSpPr/>
      </xdr:nvSpPr>
      <xdr:spPr>
        <a:xfrm>
          <a:off x="8873836" y="11568545"/>
          <a:ext cx="1551709" cy="381692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2611582</xdr:colOff>
      <xdr:row>17</xdr:row>
      <xdr:rowOff>55418</xdr:rowOff>
    </xdr:from>
    <xdr:to>
      <xdr:col>3</xdr:col>
      <xdr:colOff>4758760</xdr:colOff>
      <xdr:row>36</xdr:row>
      <xdr:rowOff>186501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138B25-E421-38E4-55C7-079E9056C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78837" y="4398818"/>
          <a:ext cx="2145273" cy="3944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294638</xdr:colOff>
      <xdr:row>0</xdr:row>
      <xdr:rowOff>77047</xdr:rowOff>
    </xdr:from>
    <xdr:to>
      <xdr:col>9</xdr:col>
      <xdr:colOff>723900</xdr:colOff>
      <xdr:row>6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3BC26D-3A3E-45A7-9076-891FB31EE3DA}"/>
            </a:ext>
          </a:extLst>
        </xdr:cNvPr>
        <xdr:cNvSpPr txBox="1"/>
      </xdr:nvSpPr>
      <xdr:spPr>
        <a:xfrm>
          <a:off x="294638" y="77047"/>
          <a:ext cx="12628882" cy="1187873"/>
        </a:xfrm>
        <a:prstGeom prst="rect">
          <a:avLst/>
        </a:prstGeom>
        <a:solidFill>
          <a:schemeClr val="lt1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INSTRUCTIONS</a:t>
          </a:r>
        </a:p>
        <a:p>
          <a:r>
            <a:rPr lang="en-US" sz="1400" b="0"/>
            <a:t>Populate</a:t>
          </a:r>
          <a:r>
            <a:rPr lang="en-US" sz="1400" b="0" baseline="0"/>
            <a:t> the below table, starting in row 11, with the project list against which resources will be forecasted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A, "Program Name", is optional and allows for the grouping and viewing of projects and resources by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Program</a:t>
          </a:r>
          <a:endParaRPr lang="en-US" sz="1400" b="0" baseline="0"/>
        </a:p>
        <a:p>
          <a:r>
            <a:rPr lang="en-US" sz="1400"/>
            <a:t>  •  Columns B through F must be populated for each project; 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least one project date must be provided in columns G through K for each project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When deleting data,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 right click and click "delete", nor drag and drop cells/rows,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instead highlight cells and use the "delete" key ony our keyboard.</a:t>
          </a:r>
          <a:endParaRPr lang="en-US" sz="14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</xdr:colOff>
      <xdr:row>0</xdr:row>
      <xdr:rowOff>133350</xdr:rowOff>
    </xdr:from>
    <xdr:to>
      <xdr:col>18</xdr:col>
      <xdr:colOff>76200</xdr:colOff>
      <xdr:row>0</xdr:row>
      <xdr:rowOff>1123950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0458EC-BE96-4A9D-8584-BF2D671824E2}"/>
            </a:ext>
          </a:extLst>
        </xdr:cNvPr>
        <xdr:cNvSpPr txBox="1"/>
      </xdr:nvSpPr>
      <xdr:spPr>
        <a:xfrm>
          <a:off x="179070" y="133350"/>
          <a:ext cx="9216390" cy="990600"/>
        </a:xfrm>
        <a:prstGeom prst="rect">
          <a:avLst/>
        </a:prstGeom>
        <a:solidFill>
          <a:schemeClr val="lt1"/>
        </a:solidFill>
        <a:ln w="12700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INSTRUCTIONS</a:t>
          </a:r>
          <a:r>
            <a:rPr lang="en-US" sz="1200" b="0" baseline="0"/>
            <a:t> </a:t>
          </a:r>
        </a:p>
        <a:p>
          <a:r>
            <a:rPr lang="en-US" sz="1400" b="0" baseline="0"/>
            <a:t>  •  Confirm "Project Archetypes" list in column C includes all project archetypes as listed in column E of the Project List</a:t>
          </a:r>
        </a:p>
        <a:p>
          <a:r>
            <a:rPr lang="en-US" sz="1400" b="0" i="1" baseline="0"/>
            <a:t>        Note: Project Archetypes must be an exact match between the Project List and DurationTable</a:t>
          </a:r>
        </a:p>
        <a:p>
          <a:r>
            <a:rPr lang="en-US" sz="1400" b="0" baseline="0"/>
            <a:t>  •  Define new Project Archetypes, if needed, by renaming "New Archetype 1" and "New Archetype 2"</a:t>
          </a:r>
        </a:p>
        <a:p>
          <a:pPr lvl="1"/>
          <a:endParaRPr lang="en-US" sz="1200" b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146685</xdr:rowOff>
    </xdr:from>
    <xdr:to>
      <xdr:col>15</xdr:col>
      <xdr:colOff>289560</xdr:colOff>
      <xdr:row>0</xdr:row>
      <xdr:rowOff>1790700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F58A92-018A-47E6-8227-D0DF0CD4539B}"/>
            </a:ext>
          </a:extLst>
        </xdr:cNvPr>
        <xdr:cNvSpPr txBox="1"/>
      </xdr:nvSpPr>
      <xdr:spPr>
        <a:xfrm>
          <a:off x="114300" y="146685"/>
          <a:ext cx="11978640" cy="1644015"/>
        </a:xfrm>
        <a:prstGeom prst="rect">
          <a:avLst/>
        </a:prstGeom>
        <a:solidFill>
          <a:schemeClr val="lt1"/>
        </a:solidFill>
        <a:ln w="12700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INSTRUCTIONS</a:t>
          </a:r>
        </a:p>
        <a:p>
          <a:r>
            <a:rPr lang="en-US" sz="1400" b="0" baseline="0"/>
            <a:t>  •  </a:t>
          </a:r>
          <a:r>
            <a:rPr lang="en-US" sz="1400" b="0"/>
            <a:t>Review required Program</a:t>
          </a:r>
          <a:r>
            <a:rPr lang="en-US" sz="1400" b="0" baseline="0"/>
            <a:t> Resources listed in column B</a:t>
          </a:r>
          <a:endParaRPr lang="en-US" sz="1400" b="0"/>
        </a:p>
        <a:p>
          <a:pPr lvl="1"/>
          <a:r>
            <a:rPr lang="en-US" sz="1400" b="0" baseline="0"/>
            <a:t>•  If a listed resource is not needed, it may either be deleted from the table or its allocations may be zeroed out in columns E through G.  </a:t>
          </a:r>
        </a:p>
        <a:p>
          <a:pPr lvl="1"/>
          <a:r>
            <a:rPr lang="en-US" sz="1400" b="0" baseline="0"/>
            <a:t>•  If deleting, </a:t>
          </a:r>
          <a:r>
            <a:rPr lang="en-US" sz="1400" b="1" baseline="0"/>
            <a:t>do not </a:t>
          </a:r>
          <a:r>
            <a:rPr lang="en-US" sz="1400" b="0" baseline="0"/>
            <a:t>"right click" &gt; "Delete..", instead, highlight cells and delete their contents using the "Delete" key on your keyboard.</a:t>
          </a:r>
          <a:endParaRPr lang="en-US" sz="1400" b="1" baseline="0"/>
        </a:p>
        <a:p>
          <a:pPr lvl="1"/>
          <a:r>
            <a:rPr lang="en-US" sz="1400" b="0" baseline="0"/>
            <a:t>•  To add additional resources, select a row &gt; right click &gt; "Insert" and fill in columns B through G</a:t>
          </a:r>
        </a:p>
        <a:p>
          <a:pPr lvl="0"/>
          <a:r>
            <a:rPr lang="en-US" sz="1400" b="1" baseline="0"/>
            <a:t>  •  </a:t>
          </a:r>
          <a:r>
            <a:rPr lang="en-US" sz="1400" b="0" baseline="0"/>
            <a:t>Review resource allocations in columns E through G and update as necessary</a:t>
          </a:r>
        </a:p>
        <a:p>
          <a:pPr lvl="0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C, "Team", determines how a program resource's time will be distributed - either across all projects ("Program") or only projects of a specified OpCo.</a:t>
          </a:r>
          <a:endParaRPr lang="en-US" sz="1800" b="0" baseline="0"/>
        </a:p>
        <a:p>
          <a:pPr lvl="1"/>
          <a:endParaRPr lang="en-US" sz="1200" b="1" baseline="0"/>
        </a:p>
        <a:p>
          <a:pPr lvl="2"/>
          <a:endParaRPr lang="en-US" sz="1200" b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209550</xdr:rowOff>
    </xdr:from>
    <xdr:to>
      <xdr:col>14</xdr:col>
      <xdr:colOff>198120</xdr:colOff>
      <xdr:row>0</xdr:row>
      <xdr:rowOff>1644015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C29373-FA44-4E76-A5DF-D2887ADCB411}"/>
            </a:ext>
          </a:extLst>
        </xdr:cNvPr>
        <xdr:cNvSpPr txBox="1"/>
      </xdr:nvSpPr>
      <xdr:spPr>
        <a:xfrm>
          <a:off x="388620" y="209550"/>
          <a:ext cx="10226040" cy="1434465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project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0</xdr:row>
      <xdr:rowOff>213360</xdr:rowOff>
    </xdr:from>
    <xdr:to>
      <xdr:col>17</xdr:col>
      <xdr:colOff>15241</xdr:colOff>
      <xdr:row>0</xdr:row>
      <xdr:rowOff>1642110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818404-2EEF-46DC-BE64-F512E827FEEE}"/>
            </a:ext>
          </a:extLst>
        </xdr:cNvPr>
        <xdr:cNvSpPr txBox="1"/>
      </xdr:nvSpPr>
      <xdr:spPr>
        <a:xfrm>
          <a:off x="388621" y="213360"/>
          <a:ext cx="10492740" cy="1428750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project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0</xdr:row>
      <xdr:rowOff>213360</xdr:rowOff>
    </xdr:from>
    <xdr:to>
      <xdr:col>16</xdr:col>
      <xdr:colOff>30481</xdr:colOff>
      <xdr:row>0</xdr:row>
      <xdr:rowOff>1642110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740E3-609C-4FD9-8B08-1367C8F35237}"/>
            </a:ext>
          </a:extLst>
        </xdr:cNvPr>
        <xdr:cNvSpPr txBox="1"/>
      </xdr:nvSpPr>
      <xdr:spPr>
        <a:xfrm>
          <a:off x="388621" y="213360"/>
          <a:ext cx="10424160" cy="1428750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project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209550</xdr:rowOff>
    </xdr:from>
    <xdr:to>
      <xdr:col>16</xdr:col>
      <xdr:colOff>15240</xdr:colOff>
      <xdr:row>0</xdr:row>
      <xdr:rowOff>1644015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6A4793-0421-433F-A95D-99810E543B57}"/>
            </a:ext>
          </a:extLst>
        </xdr:cNvPr>
        <xdr:cNvSpPr txBox="1"/>
      </xdr:nvSpPr>
      <xdr:spPr>
        <a:xfrm>
          <a:off x="388620" y="209550"/>
          <a:ext cx="10408920" cy="1434465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project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209550</xdr:rowOff>
    </xdr:from>
    <xdr:to>
      <xdr:col>16</xdr:col>
      <xdr:colOff>30480</xdr:colOff>
      <xdr:row>0</xdr:row>
      <xdr:rowOff>1644015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7FDA23-5BBD-4086-9740-94617D3DE2F1}"/>
            </a:ext>
          </a:extLst>
        </xdr:cNvPr>
        <xdr:cNvSpPr txBox="1"/>
      </xdr:nvSpPr>
      <xdr:spPr>
        <a:xfrm>
          <a:off x="388620" y="209550"/>
          <a:ext cx="10393680" cy="1434465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project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209550</xdr:rowOff>
    </xdr:from>
    <xdr:to>
      <xdr:col>16</xdr:col>
      <xdr:colOff>15240</xdr:colOff>
      <xdr:row>0</xdr:row>
      <xdr:rowOff>1644015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335731-1C5D-4C62-9AE2-E07C959E2E72}"/>
            </a:ext>
          </a:extLst>
        </xdr:cNvPr>
        <xdr:cNvSpPr txBox="1"/>
      </xdr:nvSpPr>
      <xdr:spPr>
        <a:xfrm>
          <a:off x="388620" y="209550"/>
          <a:ext cx="10866120" cy="1434465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project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209550</xdr:rowOff>
    </xdr:from>
    <xdr:to>
      <xdr:col>16</xdr:col>
      <xdr:colOff>7620</xdr:colOff>
      <xdr:row>0</xdr:row>
      <xdr:rowOff>1644015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4E4553-9960-4447-A9DD-63BEF796E5CD}"/>
            </a:ext>
          </a:extLst>
        </xdr:cNvPr>
        <xdr:cNvSpPr txBox="1"/>
      </xdr:nvSpPr>
      <xdr:spPr>
        <a:xfrm>
          <a:off x="388620" y="209550"/>
          <a:ext cx="10530840" cy="1434465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project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209550</xdr:rowOff>
    </xdr:from>
    <xdr:to>
      <xdr:col>16</xdr:col>
      <xdr:colOff>7620</xdr:colOff>
      <xdr:row>0</xdr:row>
      <xdr:rowOff>1644015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377669-A02A-4F2A-9C26-00BFFA6DC192}"/>
            </a:ext>
          </a:extLst>
        </xdr:cNvPr>
        <xdr:cNvSpPr txBox="1"/>
      </xdr:nvSpPr>
      <xdr:spPr>
        <a:xfrm>
          <a:off x="388620" y="209550"/>
          <a:ext cx="10401300" cy="1434465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project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209550</xdr:rowOff>
    </xdr:from>
    <xdr:to>
      <xdr:col>16</xdr:col>
      <xdr:colOff>30480</xdr:colOff>
      <xdr:row>0</xdr:row>
      <xdr:rowOff>1644015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691235-C9B3-4EB1-A066-66CE972FE007}"/>
            </a:ext>
          </a:extLst>
        </xdr:cNvPr>
        <xdr:cNvSpPr txBox="1"/>
      </xdr:nvSpPr>
      <xdr:spPr>
        <a:xfrm>
          <a:off x="388620" y="209550"/>
          <a:ext cx="10424160" cy="1434465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project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209550</xdr:rowOff>
    </xdr:from>
    <xdr:to>
      <xdr:col>16</xdr:col>
      <xdr:colOff>38100</xdr:colOff>
      <xdr:row>0</xdr:row>
      <xdr:rowOff>1644015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C9085A-522D-44D6-9639-A1ECC3C34D68}"/>
            </a:ext>
          </a:extLst>
        </xdr:cNvPr>
        <xdr:cNvSpPr txBox="1"/>
      </xdr:nvSpPr>
      <xdr:spPr>
        <a:xfrm>
          <a:off x="388620" y="209550"/>
          <a:ext cx="10431780" cy="1434465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project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209550</xdr:rowOff>
    </xdr:from>
    <xdr:to>
      <xdr:col>16</xdr:col>
      <xdr:colOff>7620</xdr:colOff>
      <xdr:row>0</xdr:row>
      <xdr:rowOff>1644015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2C67D6-C419-4EB5-828C-B30E2E431021}"/>
            </a:ext>
          </a:extLst>
        </xdr:cNvPr>
        <xdr:cNvSpPr txBox="1"/>
      </xdr:nvSpPr>
      <xdr:spPr>
        <a:xfrm>
          <a:off x="388620" y="209550"/>
          <a:ext cx="10401300" cy="1434465"/>
        </a:xfrm>
        <a:prstGeom prst="rect">
          <a:avLst/>
        </a:prstGeom>
        <a:solidFill>
          <a:schemeClr val="lt1"/>
        </a:solidFill>
        <a:ln w="127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400">
            <a:effectLst/>
          </a:endParaRPr>
        </a:p>
        <a:p>
          <a:pPr lvl="0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required resources for each Project Archetype in Column B</a:t>
          </a:r>
          <a:endParaRPr lang="en-US" sz="1400">
            <a:effectLst/>
          </a:endParaRPr>
        </a:p>
        <a:p>
          <a:pPr lvl="1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listed resource is not needed, it may either be deleted from the table or its allocations may be zeroed out.  </a:t>
          </a:r>
        </a:p>
        <a:p>
          <a:pPr lvl="1"/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If deleting,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"right click" &gt; "Delete..", instead, highlight cells and delete their contents using the "Delete" key on your keyboard.</a:t>
          </a:r>
          <a:endParaRPr lang="en-US" sz="1400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 To add additional resources, select a row &gt; right click &gt; "Insert" and fill in columns B through AE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•  Review resource allocations across the life of a project in columns E through AE and update as necessary</a:t>
          </a:r>
          <a:endParaRPr lang="en-US" sz="1400" b="1">
            <a:effectLst/>
          </a:endParaRPr>
        </a:p>
        <a:p>
          <a:pPr lvl="2"/>
          <a:endParaRPr lang="en-US" sz="1200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29B82B5-3551-4D7E-A273-79F0A7BF2F42}" name="Table10" displayName="Table10" ref="B7:G32" totalsRowShown="0" dataDxfId="337" tableBorderDxfId="336" dataCellStyle="Percent">
  <autoFilter ref="B7:G32" xr:uid="{829B82B5-3551-4D7E-A273-79F0A7BF2F42}"/>
  <tableColumns count="6">
    <tableColumn id="1" xr3:uid="{52A1289D-702C-4BE0-A22A-1170D672FB53}" name="Resource Title" dataDxfId="335"/>
    <tableColumn id="6" xr3:uid="{4FFFA474-A49B-4716-849B-232C2651C411}" name="Team" dataDxfId="334"/>
    <tableColumn id="2" xr3:uid="{36EF6818-E53D-4AFE-B668-61E637CDDA9D}" name="Resource Type" dataDxfId="333" dataCellStyle="Normal"/>
    <tableColumn id="3" xr3:uid="{CDD2C322-7A09-4A40-AD94-00C7DD5848EB}" name="Startup" dataDxfId="332" dataCellStyle="Percent"/>
    <tableColumn id="4" xr3:uid="{2867E1BF-0B1D-4326-A359-48BC4D193FDD}" name="Execution" dataDxfId="331" dataCellStyle="Percent"/>
    <tableColumn id="5" xr3:uid="{F3730690-8978-4865-BD3D-56CEF7A28760}" name="Closeout" dataDxfId="330" dataCellStyle="Percent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4FC28-4D7F-4547-9DEF-A456F8ED199E}" name="Table1" displayName="Table1" ref="B5:AE18" totalsRowShown="0" headerRowDxfId="329" tableBorderDxfId="328">
  <tableColumns count="30">
    <tableColumn id="1" xr3:uid="{D85AF585-C92D-4B0C-9376-D379E87B0BBA}" name="Column1" dataDxfId="327"/>
    <tableColumn id="2" xr3:uid="{4DADB0D3-0A2D-4E01-A7C4-0DDA836A14E6}" name="Column2" dataDxfId="326">
      <calculatedColumnFormula>$C$2</calculatedColumnFormula>
    </tableColumn>
    <tableColumn id="3" xr3:uid="{62AFF084-2824-41E1-AA9B-14725C560040}" name="Column3" dataDxfId="325"/>
    <tableColumn id="4" xr3:uid="{98E76F1E-FC18-4EC9-BEFA-41BC9B2AC040}" name="1" dataDxfId="324" dataCellStyle="Percent"/>
    <tableColumn id="5" xr3:uid="{1BE13B9D-BBCD-48F9-83E9-B885A24C418E}" name="2" dataDxfId="323" dataCellStyle="Percent"/>
    <tableColumn id="6" xr3:uid="{BBDD4552-05DD-446F-90A9-DBCBD650341A}" name="3" dataDxfId="322" dataCellStyle="Percent"/>
    <tableColumn id="7" xr3:uid="{15C4BDD3-E71D-4D4D-92F1-53BA22903E17}" name="4" dataDxfId="321" dataCellStyle="Percent"/>
    <tableColumn id="8" xr3:uid="{F3494478-B6DF-4E32-981D-DB2884972722}" name="5" dataDxfId="320" dataCellStyle="Percent"/>
    <tableColumn id="9" xr3:uid="{5C267A0F-8BD1-4CEE-BE83-66639ED2B0B0}" name="6" dataDxfId="319" dataCellStyle="Percent"/>
    <tableColumn id="10" xr3:uid="{C25A6E28-24EA-499C-849B-071C44CAB341}" name="7" dataDxfId="318"/>
    <tableColumn id="11" xr3:uid="{2CA4C2DD-2069-4D35-AA72-68943F8A98FA}" name="8" dataDxfId="317"/>
    <tableColumn id="12" xr3:uid="{C9D0405A-418C-4691-8536-1FD38CA8F99D}" name="9" dataDxfId="316"/>
    <tableColumn id="13" xr3:uid="{0F37651C-C083-4416-BFD0-77C3CBE3F06E}" name="10" dataDxfId="315"/>
    <tableColumn id="14" xr3:uid="{DF945C3C-42EE-4F39-98BB-77EFC845F125}" name="11" dataDxfId="314"/>
    <tableColumn id="15" xr3:uid="{5F03A149-FEA7-49B8-A572-6C65BDF24873}" name="12" dataDxfId="313"/>
    <tableColumn id="16" xr3:uid="{7F57F625-D633-45F1-9EFD-BEDD20B7853A}" name="13" dataDxfId="312"/>
    <tableColumn id="17" xr3:uid="{2F96E5D1-5D5E-4C3D-953C-146C3D0F8A15}" name="14" dataDxfId="311"/>
    <tableColumn id="18" xr3:uid="{7EAB3276-476F-4914-A487-102CB0665791}" name="15" dataDxfId="310"/>
    <tableColumn id="19" xr3:uid="{4A9F6EF9-6768-44A3-A076-A59BDA0C3AAF}" name="16" dataDxfId="309"/>
    <tableColumn id="20" xr3:uid="{6086F4F6-F6D7-431D-8985-2C3D843C9EFC}" name="17" dataDxfId="308"/>
    <tableColumn id="21" xr3:uid="{25302CC8-E623-4F8A-871F-C079F3161E76}" name="18" dataDxfId="307"/>
    <tableColumn id="22" xr3:uid="{956082CE-0444-4F4F-8688-984777522E9D}" name="19" dataDxfId="306"/>
    <tableColumn id="23" xr3:uid="{5EF0CF99-1F98-4060-BAB7-571A02BFC968}" name="20" dataDxfId="305"/>
    <tableColumn id="24" xr3:uid="{2BAF5DDD-C824-4017-B9F1-7C594FB8D1B3}" name="21" dataDxfId="304"/>
    <tableColumn id="25" xr3:uid="{38DE07BB-2773-458C-AB66-604526D9D0CE}" name="22" dataDxfId="303"/>
    <tableColumn id="26" xr3:uid="{3A0C4FE9-9C56-49B7-832E-4AC3345EAFB6}" name="23" dataDxfId="302"/>
    <tableColumn id="27" xr3:uid="{804A6D9D-0582-4789-B2A4-4A3253219962}" name="24" dataDxfId="301"/>
    <tableColumn id="28" xr3:uid="{41F42778-9166-4FCC-AD3A-727BD7A3A9C6}" name="25" dataDxfId="300" dataCellStyle="Percent"/>
    <tableColumn id="29" xr3:uid="{19369799-9E51-4ED5-B109-58AC8644DAFD}" name="26" dataDxfId="299" dataCellStyle="Percent"/>
    <tableColumn id="30" xr3:uid="{8B67BE02-CBA2-4FF3-9FFC-F4FC4D713E58}" name="27" dataDxfId="298" dataCellStyle="Percent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66993A-4324-4F68-9B1F-922889F03A59}" name="Table2" displayName="Table2" ref="B5:AE23" totalsRowShown="0" headerRowDxfId="297" headerRowBorderDxfId="296" tableBorderDxfId="295">
  <autoFilter ref="B5:AE23" xr:uid="{4B66993A-4324-4F68-9B1F-922889F03A59}"/>
  <tableColumns count="30">
    <tableColumn id="1" xr3:uid="{3FA10462-B2D6-4FAE-BC47-FDD2F6AB18EB}" name="Column1" dataDxfId="294"/>
    <tableColumn id="2" xr3:uid="{8FCC8A51-8388-457B-85C1-C433C8F88239}" name="Column2" dataDxfId="293">
      <calculatedColumnFormula>$C$2</calculatedColumnFormula>
    </tableColumn>
    <tableColumn id="3" xr3:uid="{249F9567-3938-4C71-AB9E-D3F74C08B501}" name="Column3" dataDxfId="292"/>
    <tableColumn id="4" xr3:uid="{80E61CF7-2F47-446F-AB8E-3BC6A8C060F9}" name="1" dataDxfId="291" dataCellStyle="Percent"/>
    <tableColumn id="5" xr3:uid="{73804531-A914-461B-8E48-3B0B49762832}" name="2" dataDxfId="290" dataCellStyle="Percent"/>
    <tableColumn id="6" xr3:uid="{2C57EB6E-9D90-428B-A691-2C8765364DE8}" name="3" dataDxfId="289" dataCellStyle="Percent"/>
    <tableColumn id="7" xr3:uid="{E2575D5B-E5D7-46CB-9594-6336B461AC71}" name="4" dataDxfId="288" dataCellStyle="Percent"/>
    <tableColumn id="8" xr3:uid="{F89522B4-33FD-4495-9D3F-8AF8DDEC102B}" name="5" dataDxfId="287" dataCellStyle="Percent"/>
    <tableColumn id="9" xr3:uid="{E2A61CC6-92EB-4BC2-A930-F2F8BE38921A}" name="6" dataDxfId="286"/>
    <tableColumn id="10" xr3:uid="{81075D5A-4D2B-4318-8738-C57B99D6C404}" name="7" dataDxfId="285"/>
    <tableColumn id="11" xr3:uid="{A8DD9F98-F0AB-458E-B2DD-B551EBCD54EB}" name="8" dataDxfId="284"/>
    <tableColumn id="12" xr3:uid="{B69D81D8-A215-431B-879F-406BF1CDBD68}" name="9" dataDxfId="283"/>
    <tableColumn id="13" xr3:uid="{AE675975-885B-4129-8BE3-5D5401726BD9}" name="10" dataDxfId="282"/>
    <tableColumn id="14" xr3:uid="{E647DB41-B25B-4B65-90A8-F1EB87FCA8A6}" name="11" dataDxfId="281"/>
    <tableColumn id="15" xr3:uid="{73AC7BD8-EF95-42C3-B33E-372C0746CA3D}" name="12" dataDxfId="280"/>
    <tableColumn id="16" xr3:uid="{9151F0C3-4E98-4B17-99E3-D287869E0D69}" name="13" dataDxfId="279"/>
    <tableColumn id="17" xr3:uid="{69667906-3781-4DEA-81B4-B3C1207B064D}" name="14" dataDxfId="278"/>
    <tableColumn id="18" xr3:uid="{2C804CAF-6136-42E7-8409-905FBB25FC7F}" name="15" dataDxfId="277"/>
    <tableColumn id="19" xr3:uid="{D3B0BA39-9863-4B3D-9226-4BFB2D95F6E6}" name="16" dataDxfId="276"/>
    <tableColumn id="20" xr3:uid="{5DAECDF0-DC9D-4A87-B1E3-FF8F6FAB5FCC}" name="17" dataDxfId="275"/>
    <tableColumn id="21" xr3:uid="{BCE3A72D-5134-4F8C-A1A7-D19DE2C3CCC0}" name="18" dataDxfId="274"/>
    <tableColumn id="22" xr3:uid="{E37A0155-83C1-4A2C-BC1F-D32E95F3D74F}" name="19" dataDxfId="273"/>
    <tableColumn id="23" xr3:uid="{5E457AFC-6CF0-4012-B079-2299FE0052F9}" name="20" dataDxfId="272"/>
    <tableColumn id="24" xr3:uid="{CAE20E7C-3CB3-40A0-A093-2AD110B15BD2}" name="21" dataDxfId="271"/>
    <tableColumn id="25" xr3:uid="{FA5ADDD3-988F-40AA-AF71-F0B4D6F2D552}" name="22" dataDxfId="270"/>
    <tableColumn id="26" xr3:uid="{152AE1BD-3EC5-4726-A1B9-B22B59CE58ED}" name="23" dataDxfId="269"/>
    <tableColumn id="27" xr3:uid="{3C236199-B3D5-4405-A16F-A66FB0FDD072}" name="24" dataDxfId="268"/>
    <tableColumn id="28" xr3:uid="{A353A2F2-3495-4309-BD0D-D8539793616A}" name="25" dataDxfId="267" dataCellStyle="Percent"/>
    <tableColumn id="29" xr3:uid="{D42D08A9-7B18-4E09-98BA-C05EDB811D75}" name="26" dataDxfId="266" dataCellStyle="Percent"/>
    <tableColumn id="30" xr3:uid="{D92376BE-9C3B-4FBF-A014-94FCEC460937}" name="27" dataDxfId="265" dataCellStyle="Percent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5B80BE-C529-46EF-8287-F08225DEEBE8}" name="Table4" displayName="Table4" ref="B5:AE20" totalsRowShown="0" headerRowDxfId="264" tableBorderDxfId="263">
  <autoFilter ref="B5:AE20" xr:uid="{275B80BE-C529-46EF-8287-F08225DEEBE8}"/>
  <tableColumns count="30">
    <tableColumn id="1" xr3:uid="{27E1D2DB-1502-4DBA-AE62-B96F88BDC7E3}" name="Column1" dataDxfId="262"/>
    <tableColumn id="2" xr3:uid="{3475BEC1-6475-4D30-935B-2A55C3B9A372}" name="Column2" dataDxfId="261">
      <calculatedColumnFormula>$C$2</calculatedColumnFormula>
    </tableColumn>
    <tableColumn id="3" xr3:uid="{591E12B9-0A30-498F-B0D0-0C7C68B34A51}" name="Column3" dataDxfId="260"/>
    <tableColumn id="4" xr3:uid="{9EC21E11-AA37-4C79-B940-2DFFC4EAE922}" name="1" dataDxfId="259" dataCellStyle="Percent"/>
    <tableColumn id="5" xr3:uid="{2196698B-1537-4060-99B9-FCB0D32CEC65}" name="2" dataDxfId="258" dataCellStyle="Percent"/>
    <tableColumn id="6" xr3:uid="{D71A76EA-6EC8-48DF-8F91-5D1A2ED21EB9}" name="3" dataDxfId="257" dataCellStyle="Percent"/>
    <tableColumn id="7" xr3:uid="{43BF64DD-E176-4384-8812-7938F5DE1ED4}" name="4" dataDxfId="256" dataCellStyle="Percent"/>
    <tableColumn id="8" xr3:uid="{73E5614C-8034-45F7-ABF9-768F4E78EBB9}" name="5" dataDxfId="255" dataCellStyle="Percent"/>
    <tableColumn id="9" xr3:uid="{47769BF7-C6F8-4DDC-9160-5CBB3F66F18E}" name="6" dataDxfId="254" dataCellStyle="Percent"/>
    <tableColumn id="10" xr3:uid="{92DA51C8-64D2-4CFF-AD56-0ECCBE914E6F}" name="7" dataDxfId="253" dataCellStyle="Percent"/>
    <tableColumn id="11" xr3:uid="{BA595592-1F97-462C-A053-9A495A9B5F09}" name="8" dataDxfId="252" dataCellStyle="Percent"/>
    <tableColumn id="12" xr3:uid="{5437FBB5-3DBE-4C92-A75E-BAD88DFB582F}" name="9" dataDxfId="251" dataCellStyle="Percent"/>
    <tableColumn id="13" xr3:uid="{C3A09F62-C3FC-4D5F-A2A5-10E81737422E}" name="10" dataDxfId="250" dataCellStyle="Percent"/>
    <tableColumn id="14" xr3:uid="{CCE92849-8D77-456E-B0EA-FE80EFABB88E}" name="11" dataDxfId="249" dataCellStyle="Percent"/>
    <tableColumn id="15" xr3:uid="{8F1E0902-D075-4A0F-9F0D-1B11C7312C4D}" name="12" dataDxfId="248" dataCellStyle="Percent"/>
    <tableColumn id="16" xr3:uid="{5902E180-91D0-40AA-BFF9-C0B51064C3C2}" name="13" dataDxfId="247" dataCellStyle="Percent"/>
    <tableColumn id="17" xr3:uid="{D7A341C7-ED04-4ABE-B6EC-EB57C6221F94}" name="14" dataDxfId="246" dataCellStyle="Percent"/>
    <tableColumn id="18" xr3:uid="{0356FCE1-684E-466C-BA5D-6617A99F3D9E}" name="15" dataDxfId="245" dataCellStyle="Percent"/>
    <tableColumn id="19" xr3:uid="{7AE6EC70-400C-411F-955E-AECF8BD24189}" name="16" dataDxfId="244" dataCellStyle="Percent"/>
    <tableColumn id="20" xr3:uid="{FB0833A1-F92A-481B-A58C-1BB086A8E0C7}" name="17" dataDxfId="243" dataCellStyle="Percent"/>
    <tableColumn id="21" xr3:uid="{AD72D719-34E1-49B6-8CCE-70BE8005AFC8}" name="18" dataDxfId="242" dataCellStyle="Percent"/>
    <tableColumn id="22" xr3:uid="{494D0C1D-3F47-4BA3-9286-905F836C75DB}" name="19" dataDxfId="241" dataCellStyle="Percent"/>
    <tableColumn id="23" xr3:uid="{CE969CAD-CB56-4E57-810E-106693D76C6E}" name="20" dataDxfId="240" dataCellStyle="Percent"/>
    <tableColumn id="24" xr3:uid="{68702257-FE55-4E00-A368-C35A94A0A544}" name="21" dataDxfId="239" dataCellStyle="Percent"/>
    <tableColumn id="25" xr3:uid="{B68DBABB-16B7-449C-BA91-065B5D8D455F}" name="22" dataDxfId="238" dataCellStyle="Percent"/>
    <tableColumn id="26" xr3:uid="{2CEFB135-F5DF-4135-998C-63B5252214AA}" name="23" dataDxfId="237" dataCellStyle="Percent"/>
    <tableColumn id="27" xr3:uid="{76CFE064-9C20-440C-9B02-69D3A99C84FB}" name="24" dataDxfId="236" dataCellStyle="Percent"/>
    <tableColumn id="28" xr3:uid="{34DDEB8A-4A73-477B-BAB7-63CB9EFADCBC}" name="25" dataDxfId="235" dataCellStyle="Percent"/>
    <tableColumn id="29" xr3:uid="{49397CEB-3646-43E4-8D37-DD705A571EE2}" name="26" dataDxfId="234" dataCellStyle="Percent"/>
    <tableColumn id="30" xr3:uid="{44C05933-1849-4530-8E1A-DFFDA44DE11F}" name="27" dataDxfId="233" dataCellStyle="Percent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C45176-9F42-4653-B4A1-BB58D3FBBB10}" name="Table3" displayName="Table3" ref="B5:AE18" totalsRowShown="0" headerRowDxfId="232" headerRowBorderDxfId="231" tableBorderDxfId="230">
  <autoFilter ref="B5:AE18" xr:uid="{BEC45176-9F42-4653-B4A1-BB58D3FBBB10}"/>
  <tableColumns count="30">
    <tableColumn id="1" xr3:uid="{3866527F-B438-4A21-9A20-2FD6572B2A1B}" name="Column1" dataDxfId="229"/>
    <tableColumn id="2" xr3:uid="{08BBF118-A3F6-4868-AB1C-DE7071F0997E}" name="Column2" dataDxfId="228">
      <calculatedColumnFormula>$C$2</calculatedColumnFormula>
    </tableColumn>
    <tableColumn id="3" xr3:uid="{A436E64C-8597-4BB1-A72F-A654E94F539F}" name="Column3" dataDxfId="227"/>
    <tableColumn id="4" xr3:uid="{756A782B-BCCE-4288-874F-484272879AB3}" name="1" dataDxfId="226" dataCellStyle="Percent"/>
    <tableColumn id="5" xr3:uid="{3D41A3A9-8EF8-4E2C-A4CE-B0159F01A4E9}" name="2" dataDxfId="225" dataCellStyle="Percent"/>
    <tableColumn id="6" xr3:uid="{D703DF3E-FB39-4251-8446-EA21939456CD}" name="3" dataDxfId="224" dataCellStyle="Percent"/>
    <tableColumn id="7" xr3:uid="{ED886CFA-6312-4C64-9521-780125B2B4FD}" name="4" dataDxfId="223" dataCellStyle="Percent"/>
    <tableColumn id="8" xr3:uid="{A264D8E5-0F49-4F1A-AFD5-159341D9AE79}" name="5" dataDxfId="222" dataCellStyle="Percent"/>
    <tableColumn id="9" xr3:uid="{F3889391-E00D-4283-A52A-183E2B0D8A49}" name="6" dataDxfId="221" dataCellStyle="Percent"/>
    <tableColumn id="10" xr3:uid="{CA060732-146C-446F-95F8-0DCF190B0CAD}" name="7" dataDxfId="220" dataCellStyle="Percent"/>
    <tableColumn id="11" xr3:uid="{400FDCBB-2244-40C0-B684-83FD98B2EC70}" name="8" dataDxfId="219" dataCellStyle="Percent"/>
    <tableColumn id="12" xr3:uid="{B580CAB5-CF9A-4618-835C-382A1B8D564B}" name="9" dataDxfId="218" dataCellStyle="Percent"/>
    <tableColumn id="13" xr3:uid="{A9DDF606-BD37-4952-A6AB-0B9F593A0431}" name="10" dataDxfId="217" dataCellStyle="Percent"/>
    <tableColumn id="14" xr3:uid="{C9D99994-6487-4F3E-AD61-8430A8C871B9}" name="11" dataDxfId="216" dataCellStyle="Percent"/>
    <tableColumn id="15" xr3:uid="{1D754D76-0B7D-41F3-AEFA-A4BF5FA06A45}" name="12" dataDxfId="215" dataCellStyle="Percent"/>
    <tableColumn id="16" xr3:uid="{E037BDD1-A9B5-47DF-B2EB-F1BDB8429466}" name="13" dataDxfId="214" dataCellStyle="Percent"/>
    <tableColumn id="17" xr3:uid="{7C383649-3D2A-40B2-A2F2-94648E2705D8}" name="14" dataDxfId="213" dataCellStyle="Percent"/>
    <tableColumn id="18" xr3:uid="{6479BCF5-B70C-49AE-BB79-9933E13F724A}" name="15" dataDxfId="212" dataCellStyle="Percent"/>
    <tableColumn id="19" xr3:uid="{2C56FE3B-32F8-4314-A7A2-FEFDA0D0849B}" name="16" dataDxfId="211" dataCellStyle="Percent"/>
    <tableColumn id="20" xr3:uid="{D634E2AC-8801-4E0D-8F9E-AC2C7661DCA0}" name="17" dataDxfId="210" dataCellStyle="Percent"/>
    <tableColumn id="21" xr3:uid="{86B50B8A-C56D-4662-8D7A-7237C7E69E92}" name="18" dataDxfId="209" dataCellStyle="Percent"/>
    <tableColumn id="22" xr3:uid="{EB8345D3-26B2-433D-AD27-938D2711FDE4}" name="19" dataDxfId="208" dataCellStyle="Percent"/>
    <tableColumn id="23" xr3:uid="{27A63DCB-7BF9-4F34-956A-BC4E9AC35A84}" name="20" dataDxfId="207" dataCellStyle="Percent"/>
    <tableColumn id="24" xr3:uid="{0D7302AD-9A8D-4E17-8A9A-CC46285151FA}" name="21" dataDxfId="206" dataCellStyle="Percent"/>
    <tableColumn id="25" xr3:uid="{820AAEC6-1AB2-4A4F-B229-F815D0851A38}" name="22" dataDxfId="205" dataCellStyle="Percent"/>
    <tableColumn id="26" xr3:uid="{69D7765F-3DB2-4BFB-8CB3-4016A7A6F373}" name="23" dataDxfId="204" dataCellStyle="Percent"/>
    <tableColumn id="27" xr3:uid="{F41C1EA9-913C-4796-8486-585EB5C3B1ED}" name="24" dataDxfId="203" dataCellStyle="Percent"/>
    <tableColumn id="28" xr3:uid="{802E591A-7146-4FA8-B8E4-967D4701C8C2}" name="25" dataDxfId="202" dataCellStyle="Percent"/>
    <tableColumn id="29" xr3:uid="{92065BA9-C444-4B75-8CAB-D7EEFFB3ADEA}" name="26" dataDxfId="201" dataCellStyle="Percent"/>
    <tableColumn id="30" xr3:uid="{5B1A1A16-778E-4483-AA4E-2E9426334A57}" name="27" dataDxfId="200" dataCellStyle="Percent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73D130-371B-4C4A-9DFA-E1B459545719}" name="Table5" displayName="Table5" ref="B5:AE20" totalsRowShown="0" headerRowDxfId="199" tableBorderDxfId="198">
  <autoFilter ref="B5:AE20" xr:uid="{0F73D130-371B-4C4A-9DFA-E1B459545719}"/>
  <tableColumns count="30">
    <tableColumn id="1" xr3:uid="{9FFB5317-3167-4E1D-A136-2D77E99A9809}" name="Column1" dataDxfId="197"/>
    <tableColumn id="2" xr3:uid="{F8645473-A4A1-46EB-A576-DF9F16A2D83B}" name="Column2" dataDxfId="196">
      <calculatedColumnFormula>$C$2</calculatedColumnFormula>
    </tableColumn>
    <tableColumn id="3" xr3:uid="{88D59083-4C6C-427A-B8C5-2C71A68C2B34}" name="Column3" dataDxfId="195"/>
    <tableColumn id="4" xr3:uid="{B20DDD4A-BFA0-4A2D-A88A-557087CC62E5}" name="1" dataDxfId="194" dataCellStyle="Percent"/>
    <tableColumn id="5" xr3:uid="{4DB4999E-ABC9-49F2-8500-AF7E262C9243}" name="2" dataDxfId="193" dataCellStyle="Percent"/>
    <tableColumn id="6" xr3:uid="{3270A9D5-A8AC-4580-9B5A-3BE98F766918}" name="3" dataDxfId="192" dataCellStyle="Percent"/>
    <tableColumn id="7" xr3:uid="{4AE378C5-4731-4338-9AE0-272B7C4D3124}" name="4" dataDxfId="191" dataCellStyle="Percent"/>
    <tableColumn id="8" xr3:uid="{2DACB343-9F91-424F-84D5-9C906687C2A2}" name="5" dataDxfId="190" dataCellStyle="Percent"/>
    <tableColumn id="9" xr3:uid="{D30EFD30-1BF7-474C-9A60-950408BB98A5}" name="6" dataDxfId="189" dataCellStyle="Percent"/>
    <tableColumn id="10" xr3:uid="{D61E9278-AA7D-4B98-B9ED-07A9E9843351}" name="7" dataDxfId="188" dataCellStyle="Percent"/>
    <tableColumn id="11" xr3:uid="{6935C4BC-84EB-4266-9060-59DBF12FBB5F}" name="8" dataDxfId="187" dataCellStyle="Percent"/>
    <tableColumn id="12" xr3:uid="{A2FE5F69-2903-4C65-B9C4-B925E30E7340}" name="9" dataDxfId="186" dataCellStyle="Percent"/>
    <tableColumn id="13" xr3:uid="{DDE75123-3A0D-4BE6-9DFB-232E0FFF4D59}" name="10" dataDxfId="185" dataCellStyle="Percent"/>
    <tableColumn id="14" xr3:uid="{B9C5A552-94D7-4E97-B7C9-BD4ABA661FBF}" name="11" dataDxfId="184" dataCellStyle="Percent"/>
    <tableColumn id="15" xr3:uid="{74F08079-051A-4EF7-A15B-CAA3AFD36814}" name="12" dataDxfId="183" dataCellStyle="Percent"/>
    <tableColumn id="16" xr3:uid="{3B45146A-AF3D-4D48-9EF2-BA6DB7EEE3D0}" name="13" dataDxfId="182" dataCellStyle="Percent"/>
    <tableColumn id="17" xr3:uid="{BCEC59F5-D511-4A54-B7C3-3AADA7E76624}" name="14" dataDxfId="181" dataCellStyle="Percent"/>
    <tableColumn id="18" xr3:uid="{5ACA9670-30D8-44CC-85D7-8AAD59ADAC88}" name="15" dataDxfId="180" dataCellStyle="Percent"/>
    <tableColumn id="19" xr3:uid="{1CAE60E6-37A5-4050-A7E0-B0D42430267A}" name="16" dataDxfId="179" dataCellStyle="Percent"/>
    <tableColumn id="20" xr3:uid="{A8FA03EF-EEE3-40F8-BC6C-B61432FB8393}" name="17" dataDxfId="178" dataCellStyle="Percent"/>
    <tableColumn id="21" xr3:uid="{2F0AE8E6-D868-4771-8E63-A0F25C765A49}" name="18" dataDxfId="177" dataCellStyle="Percent"/>
    <tableColumn id="22" xr3:uid="{3072BD29-C1EA-4BD3-AE5D-6944E4E05E8A}" name="19" dataDxfId="176" dataCellStyle="Percent"/>
    <tableColumn id="23" xr3:uid="{88365869-E025-4DB8-863F-524EE4B3C98B}" name="20" dataDxfId="175" dataCellStyle="Percent"/>
    <tableColumn id="24" xr3:uid="{9D1ACB02-72DC-400E-8E2E-B28D618BEAE8}" name="21" dataDxfId="174" dataCellStyle="Percent"/>
    <tableColumn id="25" xr3:uid="{BAB30D8B-A552-4257-BA3D-B80B1009E65F}" name="22" dataDxfId="173" dataCellStyle="Percent"/>
    <tableColumn id="26" xr3:uid="{C547DE2B-7E30-4F4A-8FA9-46F5D65846B8}" name="23" dataDxfId="172" dataCellStyle="Percent"/>
    <tableColumn id="27" xr3:uid="{D1A82E70-5E42-47E7-9C5C-9DDC6878DDDC}" name="24" dataDxfId="171" dataCellStyle="Percent"/>
    <tableColumn id="28" xr3:uid="{EBCE09FB-880D-46A6-BCC1-FFD4465AE06C}" name="25" dataDxfId="170" dataCellStyle="Percent"/>
    <tableColumn id="29" xr3:uid="{EE0CAD79-A3E1-446D-A7F1-8713A7453E08}" name="26" dataDxfId="169" dataCellStyle="Percent"/>
    <tableColumn id="30" xr3:uid="{EEC2C02F-E03B-4A79-8309-46E415DC6E2F}" name="27" dataDxfId="168" dataCellStyle="Percent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693394-2C71-4A44-8CA6-DEC3255ECA08}" name="Table6" displayName="Table6" ref="B5:AE22" totalsRowShown="0" headerRowDxfId="167" tableBorderDxfId="166">
  <autoFilter ref="B5:AE22" xr:uid="{32693394-2C71-4A44-8CA6-DEC3255ECA08}"/>
  <tableColumns count="30">
    <tableColumn id="1" xr3:uid="{3670E208-F2B5-4CC5-B623-5940EB676C8B}" name="Column1" dataDxfId="165"/>
    <tableColumn id="2" xr3:uid="{86BE27BE-BA47-4B60-94C6-E8167252D585}" name="Column2" dataDxfId="164">
      <calculatedColumnFormula>$C$2</calculatedColumnFormula>
    </tableColumn>
    <tableColumn id="3" xr3:uid="{F175A48B-3EBD-4E1A-9DCB-2E78F3DABB2D}" name="Column3" dataDxfId="163"/>
    <tableColumn id="4" xr3:uid="{ABA8A742-C4AF-4DFF-B1FA-49F7103A82DA}" name="1" dataDxfId="162" dataCellStyle="Percent"/>
    <tableColumn id="5" xr3:uid="{1225A886-3500-4E6B-AB5F-000EC6EB1431}" name="2" dataDxfId="161" dataCellStyle="Percent"/>
    <tableColumn id="6" xr3:uid="{5C68B5EE-A61A-41B9-B4E2-02D0BC9DB8A7}" name="3" dataDxfId="160" dataCellStyle="Percent"/>
    <tableColumn id="7" xr3:uid="{177138CC-D4A7-4342-A84D-2AC264EED9B4}" name="4" dataDxfId="159" dataCellStyle="Percent"/>
    <tableColumn id="8" xr3:uid="{2317CA6B-0450-4B42-9628-DEF9880BEA60}" name="5" dataDxfId="158" dataCellStyle="Percent"/>
    <tableColumn id="9" xr3:uid="{4F44B478-FAEA-4AE9-BCAA-7AD358D7E32D}" name="6" dataDxfId="157" dataCellStyle="Percent"/>
    <tableColumn id="10" xr3:uid="{2F63DEF1-9B83-4A42-9C94-F1C5446D36C5}" name="7" dataDxfId="156" dataCellStyle="Percent"/>
    <tableColumn id="11" xr3:uid="{E5499E75-B073-45A2-911B-50917A494B02}" name="8" dataDxfId="155" dataCellStyle="Percent"/>
    <tableColumn id="12" xr3:uid="{6AD5C9FD-DE42-4844-A747-2B6C4A1BEDD0}" name="9" dataDxfId="154" dataCellStyle="Percent"/>
    <tableColumn id="13" xr3:uid="{DF721515-556E-4476-8A7C-E49B918CDD40}" name="10" dataDxfId="153" dataCellStyle="Percent"/>
    <tableColumn id="14" xr3:uid="{BA09FE95-E20D-407A-AE1E-9B209F34FE5F}" name="11" dataDxfId="152" dataCellStyle="Percent"/>
    <tableColumn id="15" xr3:uid="{83325930-8176-4208-96FF-0EDE534909FC}" name="12" dataDxfId="151" dataCellStyle="Percent"/>
    <tableColumn id="16" xr3:uid="{9507F380-A3D6-4049-95C0-A19F914B7F12}" name="13" dataDxfId="150" dataCellStyle="Percent"/>
    <tableColumn id="17" xr3:uid="{33EC24D0-9C4C-4FBC-B285-DAEDB586CEDF}" name="14" dataDxfId="149" dataCellStyle="Percent"/>
    <tableColumn id="18" xr3:uid="{74F642B2-A665-4D16-9164-95B9483F99B5}" name="15" dataDxfId="148" dataCellStyle="Percent"/>
    <tableColumn id="19" xr3:uid="{02A3A7FD-FA0E-4712-9A78-D14D5988CB1C}" name="16" dataDxfId="147" dataCellStyle="Percent"/>
    <tableColumn id="20" xr3:uid="{22EA270A-DC53-4543-AF0E-D5810C542DE6}" name="17" dataDxfId="146" dataCellStyle="Percent"/>
    <tableColumn id="21" xr3:uid="{61DD613A-40FE-49B1-8254-1095D255C7B5}" name="18" dataDxfId="145" dataCellStyle="Percent"/>
    <tableColumn id="22" xr3:uid="{86349EF1-E13F-487F-BF67-0CF8FE0C7C42}" name="19" dataDxfId="144" dataCellStyle="Percent"/>
    <tableColumn id="23" xr3:uid="{2DE318FE-41CC-4037-8971-E4F85BD0AA3B}" name="20" dataDxfId="143" dataCellStyle="Percent"/>
    <tableColumn id="24" xr3:uid="{A63E66AD-E8C2-4C4A-A3DE-A89F5F01F4FE}" name="21" dataDxfId="142" dataCellStyle="Percent"/>
    <tableColumn id="25" xr3:uid="{DF93CE76-DDD6-45CE-BB9F-CA28FDCA592B}" name="22" dataDxfId="141" dataCellStyle="Percent"/>
    <tableColumn id="26" xr3:uid="{CD7D984F-B5C8-486B-B810-751551CFB084}" name="23" dataDxfId="140" dataCellStyle="Percent"/>
    <tableColumn id="27" xr3:uid="{B050F490-AC2C-4E9B-9FF2-AFA1B7C2468E}" name="24" dataDxfId="139" dataCellStyle="Percent"/>
    <tableColumn id="28" xr3:uid="{B58EFCF4-CBA1-4665-9093-18C5E96D27A1}" name="25" dataDxfId="138" dataCellStyle="Percent"/>
    <tableColumn id="29" xr3:uid="{AF991FFC-F7A4-4F84-ADC8-DFEABF6DF517}" name="26" dataDxfId="137" dataCellStyle="Percent"/>
    <tableColumn id="30" xr3:uid="{75FD23EA-147B-480E-AF15-32898D90665D}" name="27" dataDxfId="136" dataCellStyle="Percent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6AFB18-987D-4C33-A609-9140C060332E}" name="Table7" displayName="Table7" ref="B5:AE18" totalsRowShown="0" headerRowDxfId="135" tableBorderDxfId="134">
  <autoFilter ref="B5:AE18" xr:uid="{9C6AFB18-987D-4C33-A609-9140C060332E}"/>
  <tableColumns count="30">
    <tableColumn id="1" xr3:uid="{C6DDCA67-2853-4B35-9C4A-6351E279D634}" name="Column1" dataDxfId="133"/>
    <tableColumn id="2" xr3:uid="{EBE8440C-2679-4A80-B694-3E59CC67BF94}" name="Column2" dataDxfId="132">
      <calculatedColumnFormula>$C$2</calculatedColumnFormula>
    </tableColumn>
    <tableColumn id="3" xr3:uid="{B0E8A25C-FCAC-4DCD-B1C4-47F9A6FF6BA7}" name="Column3" dataDxfId="131"/>
    <tableColumn id="4" xr3:uid="{5BD30831-4704-4E1C-9BED-7A2E0590D2E8}" name="1" dataDxfId="130" dataCellStyle="Percent"/>
    <tableColumn id="5" xr3:uid="{AB84B60D-9C08-487F-84D3-A94A36CDDA57}" name="2" dataDxfId="129" dataCellStyle="Percent"/>
    <tableColumn id="6" xr3:uid="{C439870C-6768-4C76-A402-45F9B5C8AF40}" name="3" dataDxfId="128" dataCellStyle="Percent"/>
    <tableColumn id="7" xr3:uid="{4CF707CE-3617-461E-8E82-199A7F13FC9E}" name="4" dataDxfId="127" dataCellStyle="Percent"/>
    <tableColumn id="8" xr3:uid="{694310BA-BF3E-420A-9910-D83A0ADA95E5}" name="5" dataDxfId="126" dataCellStyle="Percent"/>
    <tableColumn id="9" xr3:uid="{8B11502C-AF53-4C7D-B088-BAE83ECEB970}" name="6" dataDxfId="125" dataCellStyle="Percent"/>
    <tableColumn id="10" xr3:uid="{194E6199-1F92-4E66-B02F-31054C9229B9}" name="7" dataDxfId="124" dataCellStyle="Percent"/>
    <tableColumn id="11" xr3:uid="{E368CB76-D5F7-4C0D-88D2-8A68E6E4492E}" name="8" dataDxfId="123" dataCellStyle="Percent"/>
    <tableColumn id="12" xr3:uid="{65DE27C5-BA3F-4918-8E45-62CB2EDF9628}" name="9" dataDxfId="122" dataCellStyle="Percent"/>
    <tableColumn id="13" xr3:uid="{B2A66672-9F00-43F5-87E7-DB5C8555989B}" name="10" dataDxfId="121" dataCellStyle="Percent"/>
    <tableColumn id="14" xr3:uid="{8521C3ED-06F1-474B-B343-7E059930FFCB}" name="11" dataDxfId="120" dataCellStyle="Percent"/>
    <tableColumn id="15" xr3:uid="{D5EDD70E-DD77-4961-9804-13DB4F57A0AC}" name="12" dataDxfId="119" dataCellStyle="Percent"/>
    <tableColumn id="16" xr3:uid="{1EB7E107-F6B3-48F4-97F7-EE6EEA635D11}" name="13" dataDxfId="118" dataCellStyle="Percent"/>
    <tableColumn id="17" xr3:uid="{49D4B75C-ADAC-4256-B0FA-C28376B102DA}" name="14" dataDxfId="117" dataCellStyle="Percent"/>
    <tableColumn id="18" xr3:uid="{96519882-1012-4D94-96B5-AB2099EB56FD}" name="15" dataDxfId="116" dataCellStyle="Percent"/>
    <tableColumn id="19" xr3:uid="{3399D7C3-30D9-4DF9-8A38-6CB4CABAD86E}" name="16" dataDxfId="115" dataCellStyle="Percent"/>
    <tableColumn id="20" xr3:uid="{FF8235D3-7195-47C6-9995-5539DB133571}" name="17" dataDxfId="114" dataCellStyle="Percent"/>
    <tableColumn id="21" xr3:uid="{A06A1FE2-64AE-4D2D-85D9-C73803A43A5C}" name="18" dataDxfId="113" dataCellStyle="Percent"/>
    <tableColumn id="22" xr3:uid="{AEE5129A-1246-42A4-B413-C2E237024F6B}" name="19" dataDxfId="112" dataCellStyle="Percent"/>
    <tableColumn id="23" xr3:uid="{C00E379C-E7FA-4B2F-A9CD-6B8979089E95}" name="20" dataDxfId="111" dataCellStyle="Percent"/>
    <tableColumn id="24" xr3:uid="{3BBF4A92-9020-4C3E-A806-0994A31BCF92}" name="21" dataDxfId="110" dataCellStyle="Percent"/>
    <tableColumn id="25" xr3:uid="{641FDD62-D9A8-493B-9D4F-D9D9568F7650}" name="22" dataDxfId="109" dataCellStyle="Percent"/>
    <tableColumn id="26" xr3:uid="{1A936E03-3C53-4E15-9CDE-1FD29B4551F7}" name="23" dataDxfId="108" dataCellStyle="Percent"/>
    <tableColumn id="27" xr3:uid="{9DFD9775-FEFD-4427-83C9-B8B888DC14B7}" name="24" dataDxfId="107" dataCellStyle="Percent"/>
    <tableColumn id="28" xr3:uid="{148F6BCA-B391-4574-A356-26728CD39241}" name="25" dataDxfId="106" dataCellStyle="Percent"/>
    <tableColumn id="29" xr3:uid="{49D45336-76B1-4D94-9D65-017FEDD00F99}" name="26" dataDxfId="105" dataCellStyle="Percent"/>
    <tableColumn id="30" xr3:uid="{ABABACCD-7D35-4C04-A681-B401B1394000}" name="27" dataDxfId="104" dataCellStyle="Percent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C84F06-0E20-44D5-B867-E9298A12DFFD}" name="Table8" displayName="Table8" ref="B5:AE20" totalsRowShown="0" headerRowDxfId="103" tableBorderDxfId="102">
  <autoFilter ref="B5:AE20" xr:uid="{B4C84F06-0E20-44D5-B867-E9298A12DFFD}"/>
  <tableColumns count="30">
    <tableColumn id="1" xr3:uid="{46369558-BE89-4FA0-BDB7-315487685D8A}" name="Column1" dataDxfId="101"/>
    <tableColumn id="2" xr3:uid="{8A324A8E-4860-4574-96FE-90E12A215DA6}" name="Column2" dataDxfId="100">
      <calculatedColumnFormula>$C$2</calculatedColumnFormula>
    </tableColumn>
    <tableColumn id="3" xr3:uid="{E9A9D538-5B00-4838-9A79-65377A0026D3}" name="Column3" dataDxfId="99"/>
    <tableColumn id="4" xr3:uid="{7A5572A8-F74D-45B6-8310-F11190B858DF}" name="1" dataDxfId="98" dataCellStyle="Percent"/>
    <tableColumn id="5" xr3:uid="{935C7B82-4152-4FC4-ADAD-D65D1DB30E1C}" name="2" dataDxfId="97" dataCellStyle="Percent"/>
    <tableColumn id="6" xr3:uid="{CC23BDF8-99F9-4B5B-8A56-F0DE57F11B5F}" name="3" dataDxfId="96" dataCellStyle="Percent"/>
    <tableColumn id="7" xr3:uid="{E81B2F3E-8894-4BAD-9A37-4DA56A2FB6B8}" name="4" dataDxfId="95" dataCellStyle="Percent"/>
    <tableColumn id="8" xr3:uid="{C834703E-22DB-4300-81AC-49472FB2EA23}" name="5" dataDxfId="94" dataCellStyle="Percent"/>
    <tableColumn id="9" xr3:uid="{6DA35826-564D-4B78-AFED-062846260E49}" name="6" dataDxfId="93" dataCellStyle="Percent"/>
    <tableColumn id="10" xr3:uid="{87C743E4-079A-4590-AD13-CD633B436326}" name="7" dataDxfId="92" dataCellStyle="Percent"/>
    <tableColumn id="11" xr3:uid="{E57EC0D2-0AE7-4858-ADD6-5EF1384F3E6C}" name="8" dataDxfId="91" dataCellStyle="Percent"/>
    <tableColumn id="12" xr3:uid="{502C1B5D-18F3-49A8-9002-1F9CD86811E0}" name="9" dataDxfId="90" dataCellStyle="Percent"/>
    <tableColumn id="13" xr3:uid="{5F7F2D71-81A1-415D-94AF-04D378010D8F}" name="10" dataDxfId="89" dataCellStyle="Percent"/>
    <tableColumn id="14" xr3:uid="{B4A1CB29-2EA1-4F35-B261-0B770BC70C00}" name="11" dataDxfId="88" dataCellStyle="Percent"/>
    <tableColumn id="15" xr3:uid="{582374D5-22BC-4B88-811B-C5A3F44976C6}" name="12" dataDxfId="87" dataCellStyle="Percent"/>
    <tableColumn id="16" xr3:uid="{042EE9DA-920F-42CD-97B1-9992F1136CEF}" name="13" dataDxfId="86" dataCellStyle="Percent"/>
    <tableColumn id="17" xr3:uid="{80970C32-3158-4267-8ACA-0C048F17DE16}" name="14" dataDxfId="85" dataCellStyle="Percent"/>
    <tableColumn id="18" xr3:uid="{99366D2F-CC50-41C2-95D5-3A282B9EDD25}" name="15" dataDxfId="84" dataCellStyle="Percent"/>
    <tableColumn id="19" xr3:uid="{1B7F69B4-9E69-43B3-B41D-B425A24D6D50}" name="16" dataDxfId="83" dataCellStyle="Percent"/>
    <tableColumn id="20" xr3:uid="{2C4F27DF-C5B9-45B2-BEF3-9C11D32FA58B}" name="17" dataDxfId="82" dataCellStyle="Percent"/>
    <tableColumn id="21" xr3:uid="{ABC1F7AD-05A6-4EB6-9E22-B08AC3DDFE5B}" name="18" dataDxfId="81" dataCellStyle="Percent"/>
    <tableColumn id="22" xr3:uid="{5B60B566-E0F3-4403-B2A5-427020DC76E0}" name="19" dataDxfId="80" dataCellStyle="Percent"/>
    <tableColumn id="23" xr3:uid="{B88AC969-B00B-4A3F-BDDB-16D2D41BC05C}" name="20" dataDxfId="79" dataCellStyle="Percent"/>
    <tableColumn id="24" xr3:uid="{2ECB5A02-7167-4BC1-9FC0-4C2D570CE907}" name="21" dataDxfId="78" dataCellStyle="Percent"/>
    <tableColumn id="25" xr3:uid="{481ACE11-6ECC-4377-BB30-E165BA14CB62}" name="22" dataDxfId="77" dataCellStyle="Percent"/>
    <tableColumn id="26" xr3:uid="{29FC268D-5BF8-484F-8AED-04A14DC2CF3A}" name="23" dataDxfId="76" dataCellStyle="Percent"/>
    <tableColumn id="27" xr3:uid="{CA63B816-23A7-4676-A491-ADD1798224CB}" name="24" dataDxfId="75" dataCellStyle="Percent"/>
    <tableColumn id="28" xr3:uid="{D08177DD-E3F4-45C4-9157-05DFC153C0C9}" name="25" dataDxfId="74" dataCellStyle="Percent"/>
    <tableColumn id="29" xr3:uid="{25E6A0D2-0F8A-41CF-89E1-6FB4AEAEA0CF}" name="26" dataDxfId="73" dataCellStyle="Percent"/>
    <tableColumn id="30" xr3:uid="{12847BC1-C015-4A39-AEF1-C6648BBDDDD2}" name="27" dataDxfId="72" dataCellStyle="Percent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E10244D-A661-4323-9718-2901F69F079E}" name="Table9" displayName="Table9" ref="B5:AE20" totalsRowShown="0" headerRowDxfId="71" tableBorderDxfId="70">
  <autoFilter ref="B5:AE20" xr:uid="{5E10244D-A661-4323-9718-2901F69F079E}"/>
  <tableColumns count="30">
    <tableColumn id="1" xr3:uid="{E3607F87-977B-4C49-9955-97972A841647}" name="Column1" dataDxfId="69"/>
    <tableColumn id="2" xr3:uid="{B35F73BE-2771-4AC3-A166-D9079CC6B509}" name="Column2" dataDxfId="68">
      <calculatedColumnFormula>$C$2</calculatedColumnFormula>
    </tableColumn>
    <tableColumn id="3" xr3:uid="{D24D9817-308C-4492-B6EE-A139C29CBB3A}" name="Column3" dataDxfId="67"/>
    <tableColumn id="4" xr3:uid="{8A9361A0-E5D8-403B-8E14-127BA20B876F}" name="1" dataDxfId="66" dataCellStyle="Percent"/>
    <tableColumn id="5" xr3:uid="{BAD1843C-EA1D-4A83-B0CC-D315FAEC39EA}" name="2" dataDxfId="65" dataCellStyle="Percent"/>
    <tableColumn id="6" xr3:uid="{0CAF2B51-E93F-43A4-B99C-95BACF40F648}" name="3" dataDxfId="64" dataCellStyle="Percent"/>
    <tableColumn id="7" xr3:uid="{5161A2C2-4FA6-48F6-824E-AE689980BC4B}" name="4" dataDxfId="63" dataCellStyle="Percent"/>
    <tableColumn id="8" xr3:uid="{C67E1A97-F97B-4AF3-9935-C11069A74C5C}" name="5" dataDxfId="62" dataCellStyle="Percent"/>
    <tableColumn id="9" xr3:uid="{54D08D06-7336-47B3-841E-81D7F9834FCC}" name="6" dataDxfId="61" dataCellStyle="Percent"/>
    <tableColumn id="10" xr3:uid="{1D3AA634-AA6D-4AF2-8A80-F3F1096B9F79}" name="7" dataDxfId="60" dataCellStyle="Percent"/>
    <tableColumn id="11" xr3:uid="{6C74DD5B-AEDB-4D45-8298-5395476558C3}" name="8" dataDxfId="59" dataCellStyle="Percent"/>
    <tableColumn id="12" xr3:uid="{BC8EE2A2-3EE4-4104-BD88-F7C137BC965D}" name="9" dataDxfId="58" dataCellStyle="Percent"/>
    <tableColumn id="13" xr3:uid="{774DC735-F704-4173-924E-819961E5220C}" name="10" dataDxfId="57" dataCellStyle="Percent"/>
    <tableColumn id="14" xr3:uid="{F90AC49D-33C4-49C2-B413-C09E37379C9C}" name="11" dataDxfId="56" dataCellStyle="Percent"/>
    <tableColumn id="15" xr3:uid="{17E82245-0A8B-4B53-AD60-F115AD749B7A}" name="12" dataDxfId="55" dataCellStyle="Percent"/>
    <tableColumn id="16" xr3:uid="{8DD27C2C-6C50-419B-BADF-EC1FE1F7F0EE}" name="13" dataDxfId="54" dataCellStyle="Percent"/>
    <tableColumn id="17" xr3:uid="{21814C43-DBBD-4D39-9DCA-0FD153205C53}" name="14" dataDxfId="53" dataCellStyle="Percent"/>
    <tableColumn id="18" xr3:uid="{02F3890C-C6B7-4D3F-9B5F-D5D056F318AB}" name="15" dataDxfId="52" dataCellStyle="Percent"/>
    <tableColumn id="19" xr3:uid="{76885444-B7E0-4C7E-A712-B879F179317E}" name="16" dataDxfId="51" dataCellStyle="Percent"/>
    <tableColumn id="20" xr3:uid="{164ADA59-BEF2-4170-BB25-ED9054B710FE}" name="17" dataDxfId="50" dataCellStyle="Percent"/>
    <tableColumn id="21" xr3:uid="{DD5DBA3D-C237-4600-9DA1-66E585D0E388}" name="18" dataDxfId="49" dataCellStyle="Percent"/>
    <tableColumn id="22" xr3:uid="{EB51D401-921F-46BB-B08E-B12242760235}" name="19" dataDxfId="48" dataCellStyle="Percent"/>
    <tableColumn id="23" xr3:uid="{8329406F-415F-4AF0-86E8-6A54B3D908F4}" name="20" dataDxfId="47" dataCellStyle="Percent"/>
    <tableColumn id="24" xr3:uid="{B86D19E1-F1A3-4994-A73F-035C251D4D83}" name="21" dataDxfId="46" dataCellStyle="Percent"/>
    <tableColumn id="25" xr3:uid="{D323972D-2D5D-43F8-9E37-E64E3F1E8B96}" name="22" dataDxfId="45" dataCellStyle="Percent"/>
    <tableColumn id="26" xr3:uid="{203322D6-E6C5-4969-9F3D-C15C4D4354BE}" name="23" dataDxfId="44" dataCellStyle="Percent"/>
    <tableColumn id="27" xr3:uid="{267C3818-AF40-4BDC-A60D-B7F9F5CA94B2}" name="24" dataDxfId="43" dataCellStyle="Percent"/>
    <tableColumn id="28" xr3:uid="{CC435EC2-0058-4173-9794-842CA809C42C}" name="25" dataDxfId="42" dataCellStyle="Percent"/>
    <tableColumn id="29" xr3:uid="{C58D322F-554C-42A9-90E3-3180D1D69661}" name="26" dataDxfId="41" dataCellStyle="Percent"/>
    <tableColumn id="30" xr3:uid="{CFC2CB25-BF52-4848-88D6-13D2F946A21D}" name="27" dataDxfId="40" dataCellStyle="Percent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CEF1972-85FA-4050-82B1-2350995593E3}" name="Table912" displayName="Table912" ref="B5:AE20" totalsRowShown="0" headerRowDxfId="39" tableBorderDxfId="38">
  <tableColumns count="30">
    <tableColumn id="1" xr3:uid="{14E17E0B-192F-4DEE-BCC8-5E548A5E276B}" name="Column1" dataDxfId="37"/>
    <tableColumn id="2" xr3:uid="{0D057155-0009-423E-BFEC-5CAE70D04525}" name="Column2" dataDxfId="36">
      <calculatedColumnFormula>$C$2</calculatedColumnFormula>
    </tableColumn>
    <tableColumn id="3" xr3:uid="{FB71F484-7C64-408D-BCF4-94A7A27E27E1}" name="Column3" dataDxfId="35"/>
    <tableColumn id="4" xr3:uid="{679E40F1-CD5E-421F-BB51-E1CBF937B596}" name="1" dataDxfId="34" dataCellStyle="Percent"/>
    <tableColumn id="5" xr3:uid="{B3A84999-6581-4130-9BD3-B96E167397F5}" name="2" dataDxfId="33" dataCellStyle="Percent"/>
    <tableColumn id="6" xr3:uid="{CFFA851D-E889-41CB-9F71-8F26CBFD6236}" name="3" dataDxfId="32" dataCellStyle="Percent"/>
    <tableColumn id="7" xr3:uid="{CDDD227A-6227-4893-9090-727C258873E6}" name="4" dataDxfId="31" dataCellStyle="Percent"/>
    <tableColumn id="8" xr3:uid="{8A656A2B-9288-4E96-B824-40E79DE277D3}" name="5" dataDxfId="30" dataCellStyle="Percent"/>
    <tableColumn id="9" xr3:uid="{46D48C5F-695C-46EC-8F87-48DB404E6291}" name="6" dataDxfId="29" dataCellStyle="Percent"/>
    <tableColumn id="10" xr3:uid="{ACB99390-BC7F-4576-ACAD-E62CF5FEE2AD}" name="7" dataDxfId="28" dataCellStyle="Percent"/>
    <tableColumn id="11" xr3:uid="{AB0F7116-63BC-4DC6-8EF8-BA19E5DAB1C9}" name="8" dataDxfId="27" dataCellStyle="Percent"/>
    <tableColumn id="12" xr3:uid="{CB8C4527-3837-428D-BC06-68ACE16FE7F3}" name="9" dataDxfId="26" dataCellStyle="Percent"/>
    <tableColumn id="13" xr3:uid="{ADE7179C-DA55-4CDE-81E6-A0D8B76001F0}" name="10" dataDxfId="25" dataCellStyle="Percent"/>
    <tableColumn id="14" xr3:uid="{84EB4556-3A93-4A33-982A-713785412A80}" name="11" dataDxfId="24" dataCellStyle="Percent"/>
    <tableColumn id="15" xr3:uid="{01396F15-1B5C-4B0D-ADD8-978917394A88}" name="12" dataDxfId="23" dataCellStyle="Percent"/>
    <tableColumn id="16" xr3:uid="{5B04410C-603B-4568-A222-488338D02170}" name="13" dataDxfId="22" dataCellStyle="Percent"/>
    <tableColumn id="17" xr3:uid="{31D00A70-18D4-4DAA-B74E-94E578455A30}" name="14" dataDxfId="21" dataCellStyle="Percent"/>
    <tableColumn id="18" xr3:uid="{FC0B21B2-1DB8-41C7-952C-2B9A9BFECA6E}" name="15" dataDxfId="20" dataCellStyle="Percent"/>
    <tableColumn id="19" xr3:uid="{9A5B78CF-E566-4CC3-9D20-F88AD64884AC}" name="16" dataDxfId="19" dataCellStyle="Percent"/>
    <tableColumn id="20" xr3:uid="{62700363-C901-4CF3-A88C-F74F9FF2650C}" name="17" dataDxfId="18" dataCellStyle="Percent"/>
    <tableColumn id="21" xr3:uid="{7ADA3777-A5C0-40D8-B257-43360E1FA335}" name="18" dataDxfId="17" dataCellStyle="Percent"/>
    <tableColumn id="22" xr3:uid="{175DA60C-A1D9-4B00-95C2-9AF739A28B89}" name="19" dataDxfId="16" dataCellStyle="Percent"/>
    <tableColumn id="23" xr3:uid="{843C8D19-C71F-4246-8EDF-ADBC71D8E419}" name="20" dataDxfId="15" dataCellStyle="Percent"/>
    <tableColumn id="24" xr3:uid="{96E2F198-FEB5-44FB-8B2A-128135E78614}" name="21" dataDxfId="14" dataCellStyle="Percent"/>
    <tableColumn id="25" xr3:uid="{9122EFC8-2849-443E-B422-E714A0636A67}" name="22" dataDxfId="13" dataCellStyle="Percent"/>
    <tableColumn id="26" xr3:uid="{07182E81-4F3E-4C5E-A7D5-E528CB8DF14C}" name="23" dataDxfId="12" dataCellStyle="Percent"/>
    <tableColumn id="27" xr3:uid="{3C7F0FDA-6D1E-42A9-97EF-1389B0D239BD}" name="24" dataDxfId="11" dataCellStyle="Percent"/>
    <tableColumn id="28" xr3:uid="{A097BC15-128F-440A-BA43-1FE003A3A4EA}" name="25" dataDxfId="10" dataCellStyle="Percent"/>
    <tableColumn id="29" xr3:uid="{29B2234C-6307-4345-9ACF-D262458529B1}" name="26" dataDxfId="9" dataCellStyle="Percent"/>
    <tableColumn id="30" xr3:uid="{1AE4B608-0244-44C5-8310-E8DC6A2E7C3E}" name="27" dataDxfId="8" dataCellStyle="Percent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2862875-4F17-482F-9597-A9C15C5F2D1C}" name="Table91214" displayName="Table91214" ref="B5:AE20" totalsRowShown="0" headerRowDxfId="369" tableBorderDxfId="368">
  <tableColumns count="30">
    <tableColumn id="1" xr3:uid="{0704F07C-2FAB-48DA-B4F6-650FDB26092E}" name="Column1" dataDxfId="367"/>
    <tableColumn id="2" xr3:uid="{B816DF9F-B712-419A-978C-9C3DE6EEAE7C}" name="Column2" dataDxfId="366">
      <calculatedColumnFormula>$C$2</calculatedColumnFormula>
    </tableColumn>
    <tableColumn id="3" xr3:uid="{751FEEC2-9936-41EC-93F2-C10C62B5CD47}" name="Column3" dataDxfId="365"/>
    <tableColumn id="4" xr3:uid="{D8CB9248-97A5-4046-B2E8-D389D88034E5}" name="1" dataDxfId="364" dataCellStyle="Percent"/>
    <tableColumn id="5" xr3:uid="{D8591B3A-8955-4E6B-B12E-654BBC354DAD}" name="2" dataDxfId="363" dataCellStyle="Percent"/>
    <tableColumn id="6" xr3:uid="{E5EEAB2A-4D3B-4627-A1B6-03B170753B39}" name="3" dataDxfId="362" dataCellStyle="Percent"/>
    <tableColumn id="7" xr3:uid="{B37C2ADF-1775-49B3-B337-052594C6AF31}" name="4" dataDxfId="361" dataCellStyle="Percent"/>
    <tableColumn id="8" xr3:uid="{93E3C664-B6FA-4874-8B7C-BCC997C9AA7F}" name="5" dataDxfId="360" dataCellStyle="Percent"/>
    <tableColumn id="9" xr3:uid="{2651EC7B-4A32-4357-8A0D-0FD81DF859DE}" name="6" dataDxfId="359" dataCellStyle="Percent"/>
    <tableColumn id="10" xr3:uid="{4972925C-AB95-4364-B279-D1E225F3F2A7}" name="7" dataDxfId="358" dataCellStyle="Percent"/>
    <tableColumn id="11" xr3:uid="{D933D754-8628-414E-8C9E-8C12AEA28622}" name="8" dataDxfId="357" dataCellStyle="Percent"/>
    <tableColumn id="12" xr3:uid="{A0D2980D-5DCA-4FFC-9B81-C8923042A6E4}" name="9" dataDxfId="356" dataCellStyle="Percent"/>
    <tableColumn id="13" xr3:uid="{63EDA84D-0C45-4B2E-AAEB-A9FEBD9FE04D}" name="10" dataDxfId="355" dataCellStyle="Percent"/>
    <tableColumn id="14" xr3:uid="{B56008D9-901B-4A4E-9383-393E5BA997F3}" name="11" dataDxfId="354" dataCellStyle="Percent"/>
    <tableColumn id="15" xr3:uid="{ACDB3EFE-9E57-4DB6-9DD1-A0009C360EF7}" name="12" dataDxfId="353" dataCellStyle="Percent"/>
    <tableColumn id="16" xr3:uid="{05E0605E-0044-40EB-989C-CBF8188E4AD3}" name="13" dataDxfId="352" dataCellStyle="Percent"/>
    <tableColumn id="17" xr3:uid="{F1D592CC-8853-4E58-A581-72EFF472606A}" name="14" dataDxfId="351" dataCellStyle="Percent"/>
    <tableColumn id="18" xr3:uid="{6B79DF36-1CBB-4728-838F-563874590ADD}" name="15" dataDxfId="350" dataCellStyle="Percent"/>
    <tableColumn id="19" xr3:uid="{3996CC55-BA5F-427C-A4C0-B38EE407F297}" name="16" dataDxfId="349" dataCellStyle="Percent"/>
    <tableColumn id="20" xr3:uid="{A605EFC2-C20E-4763-8C47-F857CCB28B8C}" name="17" dataDxfId="348" dataCellStyle="Percent"/>
    <tableColumn id="21" xr3:uid="{C8F46C3C-FFC1-417C-897A-52FA20CAC636}" name="18" dataDxfId="347" dataCellStyle="Percent"/>
    <tableColumn id="22" xr3:uid="{46029943-86A9-4860-884A-A73117D63DE1}" name="19" dataDxfId="346" dataCellStyle="Percent"/>
    <tableColumn id="23" xr3:uid="{4D8A7D0D-6AAE-4A87-9A2E-E579996BEBA6}" name="20" dataDxfId="345" dataCellStyle="Percent"/>
    <tableColumn id="24" xr3:uid="{7B4E907A-3AC2-449F-9F9F-453D4B399043}" name="21" dataDxfId="344" dataCellStyle="Percent"/>
    <tableColumn id="25" xr3:uid="{E340CF17-FB2C-4DB2-B41A-E28B3A2D108D}" name="22" dataDxfId="343" dataCellStyle="Percent"/>
    <tableColumn id="26" xr3:uid="{C51649C0-02CC-400A-933B-68B2B3317308}" name="23" dataDxfId="342" dataCellStyle="Percent"/>
    <tableColumn id="27" xr3:uid="{8372CB9D-D961-4E37-96F6-8291F238E77D}" name="24" dataDxfId="341" dataCellStyle="Percent"/>
    <tableColumn id="28" xr3:uid="{AA3EFF50-23D9-498F-8917-9C4738EBC00E}" name="25" dataDxfId="340" dataCellStyle="Percent"/>
    <tableColumn id="29" xr3:uid="{7BE5B99E-1DFB-414B-B65C-91F36ED76ABF}" name="26" dataDxfId="339" dataCellStyle="Percent"/>
    <tableColumn id="30" xr3:uid="{3930D6DD-3D44-4C29-B061-A3B0A61F253F}" name="27" dataDxfId="338" dataCellStyle="Percen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Jacobs Accents Blue">
      <a:dk1>
        <a:srgbClr val="000000"/>
      </a:dk1>
      <a:lt1>
        <a:srgbClr val="FFFFFF"/>
      </a:lt1>
      <a:dk2>
        <a:srgbClr val="333333"/>
      </a:dk2>
      <a:lt2>
        <a:srgbClr val="E6E6E6"/>
      </a:lt2>
      <a:accent1>
        <a:srgbClr val="231EDC"/>
      </a:accent1>
      <a:accent2>
        <a:srgbClr val="0A7DFF"/>
      </a:accent2>
      <a:accent3>
        <a:srgbClr val="5AE6FF"/>
      </a:accent3>
      <a:accent4>
        <a:srgbClr val="001E55"/>
      </a:accent4>
      <a:accent5>
        <a:srgbClr val="A5A5A5"/>
      </a:accent5>
      <a:accent6>
        <a:srgbClr val="C8C8C8"/>
      </a:accent6>
      <a:hlink>
        <a:srgbClr val="231EDC"/>
      </a:hlink>
      <a:folHlink>
        <a:srgbClr val="E5E5E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xcel-energy-v2.alluvial.app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BDA1-0004-4D4A-BA1B-3CD3E55BEA9D}">
  <sheetPr>
    <tabColor theme="0"/>
  </sheetPr>
  <dimension ref="B2:T73"/>
  <sheetViews>
    <sheetView zoomScale="110" zoomScaleNormal="110" workbookViewId="0">
      <selection activeCell="B3" sqref="B3:D3"/>
    </sheetView>
  </sheetViews>
  <sheetFormatPr defaultColWidth="8.88671875" defaultRowHeight="14.4" x14ac:dyDescent="0.3"/>
  <cols>
    <col min="1" max="1" width="8.88671875" style="5"/>
    <col min="2" max="2" width="101.33203125" style="5" bestFit="1" customWidth="1"/>
    <col min="3" max="3" width="8.88671875" style="5" customWidth="1"/>
    <col min="4" max="4" width="126.44140625" style="5" customWidth="1"/>
    <col min="5" max="5" width="31" style="5" bestFit="1" customWidth="1"/>
    <col min="6" max="16384" width="8.88671875" style="5"/>
  </cols>
  <sheetData>
    <row r="2" spans="2:20" ht="36.6" x14ac:dyDescent="0.7">
      <c r="B2" s="192" t="s">
        <v>205</v>
      </c>
      <c r="C2" s="192"/>
      <c r="D2" s="192"/>
    </row>
    <row r="3" spans="2:20" s="133" customFormat="1" ht="15.6" x14ac:dyDescent="0.3">
      <c r="B3" s="193" t="s">
        <v>206</v>
      </c>
      <c r="C3" s="193"/>
      <c r="D3" s="193"/>
      <c r="T3" s="133" t="s">
        <v>135</v>
      </c>
    </row>
    <row r="4" spans="2:20" s="133" customFormat="1" ht="15.6" x14ac:dyDescent="0.3">
      <c r="B4" s="176"/>
    </row>
    <row r="5" spans="2:20" s="133" customFormat="1" ht="23.4" x14ac:dyDescent="0.45">
      <c r="B5" s="144" t="s">
        <v>149</v>
      </c>
      <c r="D5" s="144" t="s">
        <v>156</v>
      </c>
      <c r="T5" s="133" t="s">
        <v>136</v>
      </c>
    </row>
    <row r="6" spans="2:20" s="133" customFormat="1" ht="15.6" x14ac:dyDescent="0.3">
      <c r="B6" s="135" t="s">
        <v>141</v>
      </c>
      <c r="D6" s="135" t="s">
        <v>150</v>
      </c>
    </row>
    <row r="7" spans="2:20" s="133" customFormat="1" ht="15.6" x14ac:dyDescent="0.3">
      <c r="B7" s="136" t="s">
        <v>137</v>
      </c>
      <c r="D7" s="138"/>
    </row>
    <row r="8" spans="2:20" s="133" customFormat="1" ht="15.6" x14ac:dyDescent="0.3">
      <c r="B8" s="136" t="s">
        <v>138</v>
      </c>
      <c r="D8" s="138"/>
    </row>
    <row r="9" spans="2:20" s="133" customFormat="1" ht="15.6" x14ac:dyDescent="0.3">
      <c r="B9" s="136" t="s">
        <v>139</v>
      </c>
      <c r="D9" s="138"/>
    </row>
    <row r="10" spans="2:20" s="133" customFormat="1" ht="15.6" x14ac:dyDescent="0.3">
      <c r="B10" s="136" t="s">
        <v>140</v>
      </c>
      <c r="D10" s="138"/>
    </row>
    <row r="11" spans="2:20" s="133" customFormat="1" ht="15.6" x14ac:dyDescent="0.3">
      <c r="B11" s="137" t="s">
        <v>143</v>
      </c>
      <c r="D11" s="138"/>
    </row>
    <row r="12" spans="2:20" s="133" customFormat="1" ht="15.6" x14ac:dyDescent="0.3">
      <c r="B12" s="137" t="s">
        <v>144</v>
      </c>
      <c r="D12" s="138"/>
    </row>
    <row r="13" spans="2:20" s="133" customFormat="1" ht="31.2" x14ac:dyDescent="0.3">
      <c r="B13" s="149" t="s">
        <v>204</v>
      </c>
      <c r="D13" s="138"/>
    </row>
    <row r="14" spans="2:20" s="133" customFormat="1" ht="15.6" x14ac:dyDescent="0.3">
      <c r="B14" s="147"/>
      <c r="D14" s="138"/>
    </row>
    <row r="15" spans="2:20" s="133" customFormat="1" ht="15.6" x14ac:dyDescent="0.3">
      <c r="B15" s="139"/>
      <c r="D15" s="138"/>
    </row>
    <row r="16" spans="2:20" s="133" customFormat="1" ht="15.6" x14ac:dyDescent="0.3">
      <c r="B16" s="139"/>
      <c r="D16" s="138"/>
    </row>
    <row r="17" spans="2:4" s="133" customFormat="1" ht="31.2" x14ac:dyDescent="0.3">
      <c r="B17" s="140"/>
      <c r="D17" s="148" t="s">
        <v>157</v>
      </c>
    </row>
    <row r="18" spans="2:4" s="133" customFormat="1" ht="15.6" x14ac:dyDescent="0.3">
      <c r="B18" s="140"/>
      <c r="D18" s="138"/>
    </row>
    <row r="19" spans="2:4" s="133" customFormat="1" ht="15.6" x14ac:dyDescent="0.3">
      <c r="B19" s="140"/>
      <c r="D19" s="138"/>
    </row>
    <row r="20" spans="2:4" s="133" customFormat="1" ht="15.6" x14ac:dyDescent="0.3">
      <c r="B20" s="138"/>
      <c r="D20" s="138"/>
    </row>
    <row r="21" spans="2:4" s="133" customFormat="1" ht="15.6" x14ac:dyDescent="0.3">
      <c r="B21" s="140"/>
      <c r="D21" s="138"/>
    </row>
    <row r="22" spans="2:4" s="133" customFormat="1" ht="15.6" x14ac:dyDescent="0.3">
      <c r="B22" s="136"/>
      <c r="D22" s="138"/>
    </row>
    <row r="23" spans="2:4" s="133" customFormat="1" ht="15.6" x14ac:dyDescent="0.3">
      <c r="B23" s="140"/>
      <c r="D23" s="138"/>
    </row>
    <row r="24" spans="2:4" s="133" customFormat="1" ht="15.6" x14ac:dyDescent="0.3">
      <c r="B24" s="141"/>
      <c r="D24" s="138"/>
    </row>
    <row r="25" spans="2:4" s="133" customFormat="1" ht="15.6" x14ac:dyDescent="0.3">
      <c r="B25" s="141"/>
      <c r="D25" s="138"/>
    </row>
    <row r="26" spans="2:4" s="133" customFormat="1" ht="15.6" x14ac:dyDescent="0.3">
      <c r="B26" s="136" t="s">
        <v>142</v>
      </c>
      <c r="D26" s="138"/>
    </row>
    <row r="27" spans="2:4" s="133" customFormat="1" ht="15.6" x14ac:dyDescent="0.3">
      <c r="B27" s="136" t="s">
        <v>153</v>
      </c>
      <c r="D27" s="138"/>
    </row>
    <row r="28" spans="2:4" s="133" customFormat="1" ht="15.6" x14ac:dyDescent="0.3">
      <c r="B28" s="142"/>
      <c r="D28" s="138"/>
    </row>
    <row r="29" spans="2:4" s="133" customFormat="1" ht="15.6" x14ac:dyDescent="0.3">
      <c r="D29" s="138"/>
    </row>
    <row r="30" spans="2:4" s="133" customFormat="1" ht="15.6" x14ac:dyDescent="0.3">
      <c r="D30" s="138"/>
    </row>
    <row r="31" spans="2:4" s="133" customFormat="1" ht="15.6" x14ac:dyDescent="0.3">
      <c r="D31" s="138"/>
    </row>
    <row r="32" spans="2:4" s="133" customFormat="1" ht="15.6" x14ac:dyDescent="0.3">
      <c r="D32" s="138"/>
    </row>
    <row r="33" spans="4:4" s="133" customFormat="1" ht="15.6" x14ac:dyDescent="0.3">
      <c r="D33" s="138"/>
    </row>
    <row r="34" spans="4:4" s="133" customFormat="1" ht="15.6" x14ac:dyDescent="0.3">
      <c r="D34" s="138"/>
    </row>
    <row r="35" spans="4:4" s="133" customFormat="1" ht="15.6" x14ac:dyDescent="0.3">
      <c r="D35" s="138"/>
    </row>
    <row r="36" spans="4:4" s="133" customFormat="1" ht="15.6" x14ac:dyDescent="0.3">
      <c r="D36" s="138"/>
    </row>
    <row r="37" spans="4:4" s="133" customFormat="1" ht="15.6" x14ac:dyDescent="0.3">
      <c r="D37" s="138"/>
    </row>
    <row r="38" spans="4:4" s="133" customFormat="1" ht="15.6" x14ac:dyDescent="0.3">
      <c r="D38" s="137" t="s">
        <v>151</v>
      </c>
    </row>
    <row r="39" spans="4:4" s="133" customFormat="1" ht="15.6" x14ac:dyDescent="0.3">
      <c r="D39" s="138"/>
    </row>
    <row r="40" spans="4:4" s="133" customFormat="1" ht="15.6" x14ac:dyDescent="0.3">
      <c r="D40" s="138"/>
    </row>
    <row r="41" spans="4:4" s="133" customFormat="1" ht="15.6" x14ac:dyDescent="0.3">
      <c r="D41" s="138"/>
    </row>
    <row r="42" spans="4:4" s="133" customFormat="1" ht="15.6" x14ac:dyDescent="0.3">
      <c r="D42" s="138"/>
    </row>
    <row r="43" spans="4:4" s="133" customFormat="1" ht="15.6" x14ac:dyDescent="0.3">
      <c r="D43" s="138"/>
    </row>
    <row r="44" spans="4:4" s="133" customFormat="1" ht="15.6" x14ac:dyDescent="0.3">
      <c r="D44" s="138"/>
    </row>
    <row r="45" spans="4:4" s="133" customFormat="1" ht="15.6" x14ac:dyDescent="0.3">
      <c r="D45" s="138"/>
    </row>
    <row r="46" spans="4:4" s="133" customFormat="1" ht="15.6" x14ac:dyDescent="0.3">
      <c r="D46" s="138"/>
    </row>
    <row r="47" spans="4:4" s="133" customFormat="1" ht="15.6" x14ac:dyDescent="0.3">
      <c r="D47" s="138"/>
    </row>
    <row r="48" spans="4:4" s="133" customFormat="1" ht="15.6" x14ac:dyDescent="0.3">
      <c r="D48" s="138"/>
    </row>
    <row r="49" spans="2:4" s="133" customFormat="1" ht="15.6" x14ac:dyDescent="0.3">
      <c r="D49" s="138"/>
    </row>
    <row r="50" spans="2:4" s="133" customFormat="1" ht="15.6" x14ac:dyDescent="0.3">
      <c r="D50" s="138"/>
    </row>
    <row r="51" spans="2:4" s="133" customFormat="1" ht="15.6" x14ac:dyDescent="0.3">
      <c r="D51" s="138"/>
    </row>
    <row r="52" spans="2:4" s="133" customFormat="1" ht="15.6" x14ac:dyDescent="0.3">
      <c r="D52" s="137" t="s">
        <v>152</v>
      </c>
    </row>
    <row r="53" spans="2:4" s="133" customFormat="1" ht="15.6" x14ac:dyDescent="0.3">
      <c r="D53" s="138"/>
    </row>
    <row r="54" spans="2:4" s="133" customFormat="1" ht="15.6" x14ac:dyDescent="0.3">
      <c r="D54" s="138"/>
    </row>
    <row r="55" spans="2:4" s="133" customFormat="1" ht="15.6" x14ac:dyDescent="0.3">
      <c r="D55" s="138"/>
    </row>
    <row r="56" spans="2:4" s="133" customFormat="1" ht="15.6" x14ac:dyDescent="0.3">
      <c r="D56" s="138"/>
    </row>
    <row r="57" spans="2:4" ht="15.6" x14ac:dyDescent="0.3">
      <c r="B57" s="133"/>
      <c r="D57" s="138"/>
    </row>
    <row r="58" spans="2:4" ht="15.6" x14ac:dyDescent="0.3">
      <c r="D58" s="138"/>
    </row>
    <row r="59" spans="2:4" ht="15.6" x14ac:dyDescent="0.3">
      <c r="D59" s="138"/>
    </row>
    <row r="60" spans="2:4" ht="15.6" x14ac:dyDescent="0.3">
      <c r="D60" s="138"/>
    </row>
    <row r="61" spans="2:4" ht="15.6" x14ac:dyDescent="0.3">
      <c r="B61" s="133"/>
      <c r="D61" s="138"/>
    </row>
    <row r="62" spans="2:4" ht="15.6" x14ac:dyDescent="0.3">
      <c r="B62" s="133"/>
      <c r="D62" s="138"/>
    </row>
    <row r="63" spans="2:4" ht="15.6" x14ac:dyDescent="0.3">
      <c r="B63" s="133"/>
      <c r="D63" s="138"/>
    </row>
    <row r="64" spans="2:4" ht="15.6" x14ac:dyDescent="0.3">
      <c r="B64" s="133"/>
      <c r="D64" s="138"/>
    </row>
    <row r="65" spans="2:4" ht="15.6" x14ac:dyDescent="0.3">
      <c r="B65" s="133"/>
      <c r="D65" s="138"/>
    </row>
    <row r="66" spans="2:4" ht="15.6" x14ac:dyDescent="0.3">
      <c r="B66" s="133"/>
      <c r="D66" s="138"/>
    </row>
    <row r="67" spans="2:4" ht="15.6" x14ac:dyDescent="0.3">
      <c r="B67" s="133"/>
      <c r="D67" s="138"/>
    </row>
    <row r="68" spans="2:4" ht="15.6" x14ac:dyDescent="0.3">
      <c r="B68" s="133"/>
      <c r="D68" s="138"/>
    </row>
    <row r="69" spans="2:4" ht="15.6" x14ac:dyDescent="0.3">
      <c r="B69" s="133"/>
      <c r="D69" s="138"/>
    </row>
    <row r="70" spans="2:4" ht="15.6" x14ac:dyDescent="0.3">
      <c r="B70" s="133"/>
      <c r="D70" s="138"/>
    </row>
    <row r="71" spans="2:4" ht="15.6" x14ac:dyDescent="0.3">
      <c r="B71" s="133"/>
      <c r="D71" s="138"/>
    </row>
    <row r="72" spans="2:4" ht="15.6" x14ac:dyDescent="0.3">
      <c r="B72" s="133"/>
      <c r="D72" s="138"/>
    </row>
    <row r="73" spans="2:4" ht="15.6" x14ac:dyDescent="0.3">
      <c r="D73" s="142"/>
    </row>
  </sheetData>
  <mergeCells count="2">
    <mergeCell ref="B2:D2"/>
    <mergeCell ref="B3:D3"/>
  </mergeCells>
  <hyperlinks>
    <hyperlink ref="B3:D3" r:id="rId1" display="This workbook is intended to be used with the Resource Forecasting Model App" xr:uid="{B57BB109-77D8-46E5-9E23-EF0A9F91535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8C01-388D-435B-BD5A-0DD8946B62C8}">
  <sheetPr>
    <tabColor rgb="FFFF0000"/>
  </sheetPr>
  <dimension ref="A1:EA83"/>
  <sheetViews>
    <sheetView tabSelected="1" zoomScaleNormal="100" workbookViewId="0">
      <pane ySplit="10" topLeftCell="A11" activePane="bottomLeft" state="frozen"/>
      <selection pane="bottomLeft" activeCell="N12" sqref="N12"/>
    </sheetView>
  </sheetViews>
  <sheetFormatPr defaultColWidth="8.88671875" defaultRowHeight="14.4" x14ac:dyDescent="0.3"/>
  <cols>
    <col min="1" max="1" width="16.109375" customWidth="1"/>
    <col min="2" max="2" width="44.33203125" customWidth="1"/>
    <col min="3" max="3" width="14.109375" customWidth="1"/>
    <col min="4" max="4" width="10.6640625" customWidth="1"/>
    <col min="5" max="5" width="28.44140625" bestFit="1" customWidth="1"/>
    <col min="6" max="6" width="11.6640625" style="167" customWidth="1"/>
    <col min="7" max="7" width="15" style="168" bestFit="1" customWidth="1"/>
    <col min="8" max="8" width="19.44140625" style="168" customWidth="1"/>
    <col min="9" max="9" width="20.44140625" style="168" bestFit="1" customWidth="1"/>
    <col min="10" max="10" width="11.33203125" style="168" bestFit="1" customWidth="1"/>
    <col min="11" max="11" width="17" style="169" customWidth="1"/>
    <col min="12" max="16384" width="8.88671875" style="5"/>
  </cols>
  <sheetData>
    <row r="1" spans="1:13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3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3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3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3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3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31" ht="15" thickBot="1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31" ht="29.4" customHeight="1" thickBot="1" x14ac:dyDescent="0.35">
      <c r="A9" s="194" t="s">
        <v>145</v>
      </c>
      <c r="B9" s="195"/>
      <c r="C9" s="195"/>
      <c r="D9" s="195"/>
      <c r="E9" s="195"/>
      <c r="F9" s="195"/>
      <c r="G9" s="195"/>
      <c r="H9" s="195"/>
      <c r="I9" s="195"/>
      <c r="J9" s="195"/>
      <c r="K9" s="196"/>
    </row>
    <row r="10" spans="1:131" s="134" customFormat="1" ht="16.2" thickBot="1" x14ac:dyDescent="0.35">
      <c r="A10" s="162" t="s">
        <v>65</v>
      </c>
      <c r="B10" s="163" t="s">
        <v>63</v>
      </c>
      <c r="C10" s="163" t="s">
        <v>102</v>
      </c>
      <c r="D10" s="163" t="s">
        <v>66</v>
      </c>
      <c r="E10" s="163" t="s">
        <v>123</v>
      </c>
      <c r="F10" s="163" t="s">
        <v>72</v>
      </c>
      <c r="G10" s="163" t="s">
        <v>103</v>
      </c>
      <c r="H10" s="163" t="s">
        <v>68</v>
      </c>
      <c r="I10" s="163" t="s">
        <v>69</v>
      </c>
      <c r="J10" s="163" t="s">
        <v>67</v>
      </c>
      <c r="K10" s="164" t="s">
        <v>70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</row>
    <row r="11" spans="1:131" x14ac:dyDescent="0.3">
      <c r="A11" t="s">
        <v>167</v>
      </c>
      <c r="B11" s="166" t="s">
        <v>168</v>
      </c>
      <c r="C11" t="s">
        <v>109</v>
      </c>
      <c r="D11" t="s">
        <v>39</v>
      </c>
      <c r="E11" t="s">
        <v>71</v>
      </c>
      <c r="F11" s="167">
        <v>213.46973299999999</v>
      </c>
      <c r="G11" s="168">
        <v>46235</v>
      </c>
      <c r="H11" s="168">
        <v>46327</v>
      </c>
      <c r="J11" s="168">
        <v>46631</v>
      </c>
    </row>
    <row r="12" spans="1:131" x14ac:dyDescent="0.3">
      <c r="A12" t="s">
        <v>167</v>
      </c>
      <c r="B12" s="166" t="s">
        <v>169</v>
      </c>
      <c r="C12" t="s">
        <v>109</v>
      </c>
      <c r="D12" t="s">
        <v>39</v>
      </c>
      <c r="E12" t="s">
        <v>71</v>
      </c>
      <c r="F12" s="167">
        <v>37.723744000000003</v>
      </c>
      <c r="G12" s="168">
        <v>46235</v>
      </c>
      <c r="H12" s="168">
        <v>46266</v>
      </c>
      <c r="J12" s="168">
        <v>46691</v>
      </c>
    </row>
    <row r="13" spans="1:131" x14ac:dyDescent="0.3">
      <c r="A13" t="s">
        <v>170</v>
      </c>
      <c r="B13" s="166" t="s">
        <v>171</v>
      </c>
      <c r="C13" t="s">
        <v>109</v>
      </c>
      <c r="D13" t="s">
        <v>43</v>
      </c>
      <c r="E13" t="s">
        <v>129</v>
      </c>
      <c r="F13" s="167">
        <v>146</v>
      </c>
      <c r="G13" s="168">
        <v>46235</v>
      </c>
      <c r="H13" s="168">
        <v>46310</v>
      </c>
      <c r="J13" s="168">
        <v>46722</v>
      </c>
    </row>
    <row r="14" spans="1:131" x14ac:dyDescent="0.3">
      <c r="A14" t="s">
        <v>170</v>
      </c>
      <c r="B14" s="166" t="s">
        <v>172</v>
      </c>
      <c r="C14" t="s">
        <v>173</v>
      </c>
      <c r="D14" t="s">
        <v>39</v>
      </c>
      <c r="E14" t="s">
        <v>29</v>
      </c>
      <c r="F14" s="167">
        <v>345</v>
      </c>
      <c r="G14" s="168">
        <v>46235</v>
      </c>
      <c r="H14" s="168">
        <v>46236</v>
      </c>
      <c r="I14" s="168">
        <v>46478</v>
      </c>
      <c r="J14" s="168">
        <v>46966</v>
      </c>
    </row>
    <row r="15" spans="1:131" x14ac:dyDescent="0.3">
      <c r="A15" t="s">
        <v>170</v>
      </c>
      <c r="B15" s="166" t="s">
        <v>174</v>
      </c>
      <c r="C15" t="s">
        <v>173</v>
      </c>
      <c r="D15" t="s">
        <v>39</v>
      </c>
      <c r="E15" t="s">
        <v>30</v>
      </c>
      <c r="F15" s="167">
        <v>222</v>
      </c>
      <c r="J15" s="168">
        <v>47062</v>
      </c>
    </row>
    <row r="16" spans="1:131" x14ac:dyDescent="0.3">
      <c r="A16" t="s">
        <v>175</v>
      </c>
      <c r="B16" s="166" t="s">
        <v>176</v>
      </c>
      <c r="C16" t="s">
        <v>173</v>
      </c>
      <c r="D16" t="s">
        <v>43</v>
      </c>
      <c r="E16" t="s">
        <v>27</v>
      </c>
      <c r="F16" s="167">
        <v>111</v>
      </c>
      <c r="G16" s="168">
        <v>46266</v>
      </c>
      <c r="H16" s="168">
        <v>46310</v>
      </c>
      <c r="J16" s="168">
        <v>47102</v>
      </c>
    </row>
    <row r="17" spans="1:10" x14ac:dyDescent="0.3">
      <c r="A17" t="s">
        <v>167</v>
      </c>
      <c r="B17" s="166" t="s">
        <v>177</v>
      </c>
      <c r="C17" t="s">
        <v>109</v>
      </c>
      <c r="D17" t="s">
        <v>41</v>
      </c>
      <c r="E17" t="s">
        <v>129</v>
      </c>
      <c r="F17" s="167">
        <v>188</v>
      </c>
      <c r="G17" s="168">
        <v>46266</v>
      </c>
      <c r="H17" s="168">
        <v>46327</v>
      </c>
      <c r="J17" s="168">
        <v>47102</v>
      </c>
    </row>
    <row r="18" spans="1:10" x14ac:dyDescent="0.3">
      <c r="A18" t="s">
        <v>175</v>
      </c>
      <c r="B18" s="166" t="s">
        <v>178</v>
      </c>
      <c r="C18" t="s">
        <v>173</v>
      </c>
      <c r="D18" t="s">
        <v>41</v>
      </c>
      <c r="E18" t="s">
        <v>31</v>
      </c>
      <c r="F18" s="167">
        <v>642</v>
      </c>
      <c r="G18" s="168">
        <v>46296</v>
      </c>
      <c r="H18" s="168">
        <v>46357</v>
      </c>
      <c r="J18" s="168">
        <v>47116</v>
      </c>
    </row>
    <row r="19" spans="1:10" x14ac:dyDescent="0.3">
      <c r="A19" t="s">
        <v>179</v>
      </c>
      <c r="B19" s="166" t="s">
        <v>180</v>
      </c>
      <c r="C19" t="s">
        <v>109</v>
      </c>
      <c r="D19" t="s">
        <v>39</v>
      </c>
      <c r="E19" t="s">
        <v>71</v>
      </c>
      <c r="F19" s="167">
        <v>132.302266</v>
      </c>
      <c r="I19" s="168">
        <v>46874</v>
      </c>
      <c r="J19" s="168">
        <v>47170</v>
      </c>
    </row>
    <row r="20" spans="1:10" x14ac:dyDescent="0.3">
      <c r="A20" t="s">
        <v>179</v>
      </c>
      <c r="B20" s="166" t="s">
        <v>181</v>
      </c>
      <c r="C20" t="s">
        <v>109</v>
      </c>
      <c r="D20" t="s">
        <v>39</v>
      </c>
      <c r="E20" t="s">
        <v>71</v>
      </c>
      <c r="F20" s="167">
        <v>187.68892099999999</v>
      </c>
      <c r="G20" s="168">
        <v>46296</v>
      </c>
      <c r="H20" s="168">
        <v>46357</v>
      </c>
      <c r="J20" s="168">
        <v>47257</v>
      </c>
    </row>
    <row r="21" spans="1:10" x14ac:dyDescent="0.3">
      <c r="A21" t="s">
        <v>175</v>
      </c>
      <c r="B21" s="166" t="s">
        <v>182</v>
      </c>
      <c r="C21" t="s">
        <v>173</v>
      </c>
      <c r="D21" t="s">
        <v>41</v>
      </c>
      <c r="E21" t="s">
        <v>31</v>
      </c>
      <c r="F21" s="167">
        <v>170</v>
      </c>
      <c r="J21" s="168">
        <v>47270</v>
      </c>
    </row>
    <row r="22" spans="1:10" x14ac:dyDescent="0.3">
      <c r="A22" t="s">
        <v>167</v>
      </c>
      <c r="B22" s="166" t="s">
        <v>183</v>
      </c>
      <c r="C22" t="s">
        <v>173</v>
      </c>
      <c r="D22" t="s">
        <v>41</v>
      </c>
      <c r="E22" t="s">
        <v>24</v>
      </c>
      <c r="F22" s="167">
        <v>423.422256</v>
      </c>
      <c r="G22" s="168">
        <v>46235</v>
      </c>
      <c r="H22" s="168">
        <v>46327</v>
      </c>
      <c r="J22" s="168">
        <v>47298</v>
      </c>
    </row>
    <row r="23" spans="1:10" x14ac:dyDescent="0.3">
      <c r="A23" t="s">
        <v>184</v>
      </c>
      <c r="B23" s="166" t="s">
        <v>185</v>
      </c>
      <c r="C23" t="s">
        <v>109</v>
      </c>
      <c r="D23" t="s">
        <v>39</v>
      </c>
      <c r="E23" t="s">
        <v>28</v>
      </c>
      <c r="F23" s="167">
        <v>84</v>
      </c>
      <c r="G23" s="168">
        <v>46388</v>
      </c>
      <c r="H23" s="168">
        <v>46478</v>
      </c>
      <c r="J23" s="168">
        <v>47321</v>
      </c>
    </row>
    <row r="24" spans="1:10" x14ac:dyDescent="0.3">
      <c r="A24" t="s">
        <v>167</v>
      </c>
      <c r="B24" s="166" t="s">
        <v>186</v>
      </c>
      <c r="C24" t="s">
        <v>109</v>
      </c>
      <c r="D24" t="s">
        <v>43</v>
      </c>
      <c r="E24" t="s">
        <v>129</v>
      </c>
      <c r="F24" s="167">
        <v>80</v>
      </c>
      <c r="J24" s="168">
        <v>47331</v>
      </c>
    </row>
    <row r="25" spans="1:10" x14ac:dyDescent="0.3">
      <c r="A25" t="s">
        <v>184</v>
      </c>
      <c r="B25" s="166" t="s">
        <v>187</v>
      </c>
      <c r="C25" t="s">
        <v>109</v>
      </c>
      <c r="D25" t="s">
        <v>39</v>
      </c>
      <c r="E25" t="s">
        <v>28</v>
      </c>
      <c r="F25" s="167">
        <v>44</v>
      </c>
      <c r="J25" s="168">
        <v>47331</v>
      </c>
    </row>
    <row r="26" spans="1:10" x14ac:dyDescent="0.3">
      <c r="A26" t="s">
        <v>175</v>
      </c>
      <c r="B26" s="166" t="s">
        <v>188</v>
      </c>
      <c r="C26" t="s">
        <v>173</v>
      </c>
      <c r="D26" t="s">
        <v>43</v>
      </c>
      <c r="E26" t="s">
        <v>29</v>
      </c>
      <c r="F26" s="167">
        <v>612</v>
      </c>
      <c r="G26" s="168">
        <v>46249</v>
      </c>
      <c r="J26" s="168">
        <v>47331</v>
      </c>
    </row>
    <row r="27" spans="1:10" x14ac:dyDescent="0.3">
      <c r="A27" t="s">
        <v>175</v>
      </c>
      <c r="B27" s="166" t="s">
        <v>189</v>
      </c>
      <c r="C27" t="s">
        <v>173</v>
      </c>
      <c r="D27" t="s">
        <v>43</v>
      </c>
      <c r="E27" t="s">
        <v>24</v>
      </c>
      <c r="F27" s="167">
        <v>447.73333700000001</v>
      </c>
      <c r="J27" s="168">
        <v>47376</v>
      </c>
    </row>
    <row r="28" spans="1:10" x14ac:dyDescent="0.3">
      <c r="A28" t="s">
        <v>175</v>
      </c>
      <c r="B28" s="166" t="s">
        <v>190</v>
      </c>
      <c r="C28" t="s">
        <v>173</v>
      </c>
      <c r="D28" t="s">
        <v>39</v>
      </c>
      <c r="E28" t="s">
        <v>30</v>
      </c>
      <c r="F28" s="167">
        <v>225.12786500000001</v>
      </c>
      <c r="J28" s="168">
        <v>47387</v>
      </c>
    </row>
    <row r="29" spans="1:10" x14ac:dyDescent="0.3">
      <c r="A29" t="s">
        <v>170</v>
      </c>
      <c r="B29" s="166" t="s">
        <v>191</v>
      </c>
      <c r="C29" t="s">
        <v>109</v>
      </c>
      <c r="D29" t="s">
        <v>39</v>
      </c>
      <c r="E29" t="s">
        <v>129</v>
      </c>
      <c r="F29" s="167">
        <v>49</v>
      </c>
      <c r="G29" s="168">
        <v>46296</v>
      </c>
      <c r="H29" s="168">
        <v>46357</v>
      </c>
      <c r="J29" s="168">
        <v>47467</v>
      </c>
    </row>
    <row r="30" spans="1:10" x14ac:dyDescent="0.3">
      <c r="A30" t="s">
        <v>179</v>
      </c>
      <c r="B30" s="166" t="s">
        <v>192</v>
      </c>
      <c r="C30" t="s">
        <v>109</v>
      </c>
      <c r="D30" t="s">
        <v>39</v>
      </c>
      <c r="E30" t="s">
        <v>71</v>
      </c>
      <c r="F30" s="167">
        <v>312.16385500000001</v>
      </c>
      <c r="G30" s="168">
        <v>46296</v>
      </c>
      <c r="I30" s="168">
        <v>46508</v>
      </c>
      <c r="J30" s="168">
        <v>47475</v>
      </c>
    </row>
    <row r="31" spans="1:10" x14ac:dyDescent="0.3">
      <c r="A31" t="s">
        <v>175</v>
      </c>
      <c r="B31" s="166" t="s">
        <v>193</v>
      </c>
      <c r="C31" t="s">
        <v>173</v>
      </c>
      <c r="D31" t="s">
        <v>41</v>
      </c>
      <c r="E31" t="s">
        <v>24</v>
      </c>
      <c r="F31" s="167">
        <v>189.33303000000001</v>
      </c>
      <c r="J31" s="168">
        <v>47483</v>
      </c>
    </row>
    <row r="32" spans="1:10" x14ac:dyDescent="0.3">
      <c r="A32" t="s">
        <v>184</v>
      </c>
      <c r="B32" s="166" t="s">
        <v>194</v>
      </c>
      <c r="C32" t="s">
        <v>109</v>
      </c>
      <c r="D32" t="s">
        <v>39</v>
      </c>
      <c r="E32" t="s">
        <v>28</v>
      </c>
      <c r="F32" s="167">
        <v>78.177794000000006</v>
      </c>
      <c r="G32" s="168">
        <v>46235</v>
      </c>
      <c r="H32" s="168">
        <v>46508</v>
      </c>
      <c r="I32" s="168">
        <v>46966</v>
      </c>
      <c r="J32" s="168">
        <v>47517</v>
      </c>
    </row>
    <row r="33" spans="1:10" x14ac:dyDescent="0.3">
      <c r="A33" t="s">
        <v>184</v>
      </c>
      <c r="B33" s="166" t="s">
        <v>195</v>
      </c>
      <c r="C33" t="s">
        <v>109</v>
      </c>
      <c r="D33" t="s">
        <v>39</v>
      </c>
      <c r="E33" t="s">
        <v>28</v>
      </c>
      <c r="F33" s="167">
        <v>38.498486</v>
      </c>
      <c r="G33" s="168">
        <v>46235</v>
      </c>
      <c r="J33" s="168">
        <v>47568</v>
      </c>
    </row>
    <row r="34" spans="1:10" x14ac:dyDescent="0.3">
      <c r="A34" t="s">
        <v>167</v>
      </c>
      <c r="B34" s="166" t="s">
        <v>196</v>
      </c>
      <c r="C34" t="s">
        <v>109</v>
      </c>
      <c r="D34" t="s">
        <v>39</v>
      </c>
      <c r="E34" t="s">
        <v>71</v>
      </c>
      <c r="F34" s="167">
        <v>65.513578999999993</v>
      </c>
      <c r="J34" s="168">
        <v>47605</v>
      </c>
    </row>
    <row r="35" spans="1:10" x14ac:dyDescent="0.3">
      <c r="A35" t="s">
        <v>184</v>
      </c>
      <c r="B35" s="166" t="s">
        <v>197</v>
      </c>
      <c r="C35" t="s">
        <v>109</v>
      </c>
      <c r="D35" t="s">
        <v>39</v>
      </c>
      <c r="E35" t="s">
        <v>28</v>
      </c>
      <c r="F35" s="167">
        <v>148.16042999999999</v>
      </c>
      <c r="J35" s="168">
        <v>47625</v>
      </c>
    </row>
    <row r="36" spans="1:10" x14ac:dyDescent="0.3">
      <c r="A36" t="s">
        <v>167</v>
      </c>
      <c r="B36" s="166" t="s">
        <v>198</v>
      </c>
      <c r="C36" t="s">
        <v>173</v>
      </c>
      <c r="D36" t="s">
        <v>39</v>
      </c>
      <c r="E36" t="s">
        <v>24</v>
      </c>
      <c r="F36" s="167">
        <v>113.39808499999999</v>
      </c>
      <c r="J36" s="168">
        <v>47665</v>
      </c>
    </row>
    <row r="37" spans="1:10" x14ac:dyDescent="0.3">
      <c r="A37" t="s">
        <v>175</v>
      </c>
      <c r="B37" s="166" t="s">
        <v>199</v>
      </c>
      <c r="C37" t="s">
        <v>109</v>
      </c>
      <c r="D37" t="s">
        <v>39</v>
      </c>
      <c r="E37" t="s">
        <v>129</v>
      </c>
      <c r="F37" s="167">
        <v>115</v>
      </c>
      <c r="J37" s="168">
        <v>47696</v>
      </c>
    </row>
    <row r="38" spans="1:10" x14ac:dyDescent="0.3">
      <c r="A38" t="s">
        <v>184</v>
      </c>
      <c r="B38" s="166" t="s">
        <v>200</v>
      </c>
      <c r="C38" t="s">
        <v>109</v>
      </c>
      <c r="D38" t="s">
        <v>39</v>
      </c>
      <c r="E38" t="s">
        <v>28</v>
      </c>
      <c r="F38" s="167">
        <v>166.28368599999999</v>
      </c>
      <c r="J38" s="168">
        <v>47983</v>
      </c>
    </row>
    <row r="39" spans="1:10" x14ac:dyDescent="0.3">
      <c r="A39" t="s">
        <v>167</v>
      </c>
      <c r="B39" s="166" t="s">
        <v>201</v>
      </c>
      <c r="C39" t="s">
        <v>173</v>
      </c>
      <c r="D39" t="s">
        <v>39</v>
      </c>
      <c r="E39" t="s">
        <v>29</v>
      </c>
      <c r="F39" s="167">
        <v>452</v>
      </c>
      <c r="J39" s="168">
        <v>48044</v>
      </c>
    </row>
    <row r="40" spans="1:10" x14ac:dyDescent="0.3">
      <c r="A40" t="s">
        <v>184</v>
      </c>
      <c r="B40" s="170" t="s">
        <v>202</v>
      </c>
      <c r="C40" t="s">
        <v>109</v>
      </c>
      <c r="D40" t="s">
        <v>39</v>
      </c>
      <c r="E40" t="s">
        <v>28</v>
      </c>
      <c r="F40" s="167">
        <v>53.468864000000004</v>
      </c>
      <c r="J40" s="168">
        <v>48081</v>
      </c>
    </row>
    <row r="41" spans="1:10" x14ac:dyDescent="0.3">
      <c r="A41" t="s">
        <v>175</v>
      </c>
      <c r="B41" s="166" t="s">
        <v>203</v>
      </c>
      <c r="C41" t="s">
        <v>173</v>
      </c>
      <c r="D41" t="s">
        <v>39</v>
      </c>
      <c r="E41" t="s">
        <v>30</v>
      </c>
      <c r="F41" s="167">
        <v>151.93186559999998</v>
      </c>
      <c r="J41" s="168">
        <v>48090</v>
      </c>
    </row>
    <row r="42" spans="1:10" x14ac:dyDescent="0.3">
      <c r="B42" s="166"/>
    </row>
    <row r="43" spans="1:10" x14ac:dyDescent="0.3">
      <c r="B43" s="166"/>
    </row>
    <row r="44" spans="1:10" x14ac:dyDescent="0.3">
      <c r="B44" s="166"/>
    </row>
    <row r="45" spans="1:10" x14ac:dyDescent="0.3">
      <c r="B45" s="170"/>
    </row>
    <row r="46" spans="1:10" x14ac:dyDescent="0.3">
      <c r="B46" s="166"/>
    </row>
    <row r="47" spans="1:10" x14ac:dyDescent="0.3">
      <c r="B47" s="166"/>
    </row>
    <row r="56" spans="2:2" x14ac:dyDescent="0.3">
      <c r="B56" s="171"/>
    </row>
    <row r="57" spans="2:2" x14ac:dyDescent="0.3">
      <c r="B57" s="171"/>
    </row>
    <row r="58" spans="2:2" x14ac:dyDescent="0.3">
      <c r="B58" s="171"/>
    </row>
    <row r="59" spans="2:2" x14ac:dyDescent="0.3">
      <c r="B59" s="171"/>
    </row>
    <row r="60" spans="2:2" x14ac:dyDescent="0.3">
      <c r="B60" s="171"/>
    </row>
    <row r="61" spans="2:2" x14ac:dyDescent="0.3">
      <c r="B61" s="171"/>
    </row>
    <row r="62" spans="2:2" x14ac:dyDescent="0.3">
      <c r="B62" s="171"/>
    </row>
    <row r="63" spans="2:2" x14ac:dyDescent="0.3">
      <c r="B63" s="171"/>
    </row>
    <row r="64" spans="2:2" x14ac:dyDescent="0.3">
      <c r="B64" s="171"/>
    </row>
    <row r="65" spans="2:2" x14ac:dyDescent="0.3">
      <c r="B65" s="171"/>
    </row>
    <row r="66" spans="2:2" x14ac:dyDescent="0.3">
      <c r="B66" s="171"/>
    </row>
    <row r="67" spans="2:2" x14ac:dyDescent="0.3">
      <c r="B67" s="171"/>
    </row>
    <row r="68" spans="2:2" x14ac:dyDescent="0.3">
      <c r="B68" s="171"/>
    </row>
    <row r="69" spans="2:2" x14ac:dyDescent="0.3">
      <c r="B69" s="171"/>
    </row>
    <row r="70" spans="2:2" x14ac:dyDescent="0.3">
      <c r="B70" s="171"/>
    </row>
    <row r="71" spans="2:2" x14ac:dyDescent="0.3">
      <c r="B71" s="171"/>
    </row>
    <row r="72" spans="2:2" x14ac:dyDescent="0.3">
      <c r="B72" s="171"/>
    </row>
    <row r="73" spans="2:2" x14ac:dyDescent="0.3">
      <c r="B73" s="171"/>
    </row>
    <row r="74" spans="2:2" x14ac:dyDescent="0.3">
      <c r="B74" s="171"/>
    </row>
    <row r="75" spans="2:2" x14ac:dyDescent="0.3">
      <c r="B75" s="171"/>
    </row>
    <row r="76" spans="2:2" x14ac:dyDescent="0.3">
      <c r="B76" s="171"/>
    </row>
    <row r="77" spans="2:2" x14ac:dyDescent="0.3">
      <c r="B77" s="171"/>
    </row>
    <row r="78" spans="2:2" x14ac:dyDescent="0.3">
      <c r="B78" s="171"/>
    </row>
    <row r="79" spans="2:2" x14ac:dyDescent="0.3">
      <c r="B79" s="171"/>
    </row>
    <row r="80" spans="2:2" x14ac:dyDescent="0.3">
      <c r="B80" s="171"/>
    </row>
    <row r="81" spans="2:2" x14ac:dyDescent="0.3">
      <c r="B81" s="171"/>
    </row>
    <row r="82" spans="2:2" x14ac:dyDescent="0.3">
      <c r="B82" s="171"/>
    </row>
    <row r="83" spans="2:2" x14ac:dyDescent="0.3">
      <c r="B83" s="171"/>
    </row>
  </sheetData>
  <autoFilter ref="A10:K51" xr:uid="{EA178C01-388D-435B-BD5A-0DD8946B62C8}">
    <sortState xmlns:xlrd2="http://schemas.microsoft.com/office/spreadsheetml/2017/richdata2" ref="A11:K51">
      <sortCondition ref="G10:G51"/>
    </sortState>
  </autoFilter>
  <mergeCells count="1">
    <mergeCell ref="A9:K9"/>
  </mergeCells>
  <phoneticPr fontId="22" type="noConversion"/>
  <conditionalFormatting sqref="B11:B1048576">
    <cfRule type="expression" dxfId="7" priority="1">
      <formula>AND(B11="",COUNTA(B11:J11)&gt;0)</formula>
    </cfRule>
  </conditionalFormatting>
  <conditionalFormatting sqref="C11:C1048576">
    <cfRule type="expression" dxfId="6" priority="24">
      <formula>AND($B11&lt;&gt;"",$C11="")</formula>
    </cfRule>
  </conditionalFormatting>
  <conditionalFormatting sqref="D11:D2147">
    <cfRule type="expression" dxfId="5" priority="23">
      <formula>AND($B11&lt;&gt;"",$D11="")</formula>
    </cfRule>
  </conditionalFormatting>
  <conditionalFormatting sqref="E11:E1048576">
    <cfRule type="expression" dxfId="3" priority="21">
      <formula>AND($B11&lt;&gt;"",$E11="")</formula>
    </cfRule>
  </conditionalFormatting>
  <conditionalFormatting sqref="F11:F1048576">
    <cfRule type="expression" dxfId="2" priority="20">
      <formula>AND($B11&lt;&gt;"",$F11="")</formula>
    </cfRule>
  </conditionalFormatting>
  <conditionalFormatting sqref="G11:K1048576">
    <cfRule type="expression" dxfId="1" priority="19">
      <formula>AND($B11&lt;&gt;"",$G11="",$H11="",$I11="",$J11="",$K11="")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8DF31B4-2436-43AB-80F0-E2B63B4B4F07}">
            <xm:f>AND($E11&lt;&gt;"",ISERROR(MATCH($E11,'Duration Table'!$C$7:$C$17,0)))</xm:f>
            <x14:dxf>
              <fill>
                <patternFill>
                  <bgColor rgb="FFFF9393"/>
                </patternFill>
              </fill>
            </x14:dxf>
          </x14:cfRule>
          <xm:sqref>E11:E1048576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4C1A-1A74-4F1A-B2BB-4FC023FCB74A}">
  <sheetPr>
    <tabColor rgb="FF7030A0"/>
  </sheetPr>
  <dimension ref="C1:AL24"/>
  <sheetViews>
    <sheetView zoomScaleNormal="100" workbookViewId="0">
      <selection activeCell="C17" sqref="C17"/>
    </sheetView>
  </sheetViews>
  <sheetFormatPr defaultColWidth="9.109375" defaultRowHeight="14.4" x14ac:dyDescent="0.3"/>
  <cols>
    <col min="1" max="1" width="4.44140625" style="5" customWidth="1"/>
    <col min="2" max="2" width="3.6640625" style="5" customWidth="1"/>
    <col min="3" max="3" width="29.44140625" style="5" customWidth="1"/>
    <col min="4" max="8" width="9.33203125" style="5" customWidth="1"/>
    <col min="9" max="10" width="9.109375" style="5"/>
    <col min="11" max="46" width="4.6640625" style="5" customWidth="1"/>
    <col min="47" max="16384" width="9.109375" style="5"/>
  </cols>
  <sheetData>
    <row r="1" spans="3:38" ht="95.4" customHeight="1" x14ac:dyDescent="0.3"/>
    <row r="2" spans="3:38" ht="21.6" customHeight="1" x14ac:dyDescent="0.45">
      <c r="C2" s="202" t="s">
        <v>146</v>
      </c>
      <c r="D2" s="202"/>
      <c r="E2" s="202"/>
      <c r="F2" s="202"/>
      <c r="G2" s="202"/>
      <c r="H2" s="202"/>
    </row>
    <row r="3" spans="3:38" ht="15" thickBot="1" x14ac:dyDescent="0.35">
      <c r="K3" s="25"/>
    </row>
    <row r="4" spans="3:38" ht="16.2" thickBot="1" x14ac:dyDescent="0.35">
      <c r="D4" s="199" t="s">
        <v>121</v>
      </c>
      <c r="E4" s="200"/>
      <c r="F4" s="200"/>
      <c r="G4" s="200"/>
      <c r="H4" s="201"/>
      <c r="K4" s="26"/>
      <c r="L4" s="27"/>
      <c r="M4" s="27"/>
      <c r="N4" s="27"/>
      <c r="O4" s="27"/>
      <c r="P4" s="27"/>
      <c r="Q4" s="27"/>
      <c r="R4" s="27"/>
      <c r="S4" s="27"/>
      <c r="T4" s="27"/>
    </row>
    <row r="5" spans="3:38" ht="35.4" customHeight="1" thickBot="1" x14ac:dyDescent="0.35">
      <c r="C5" s="197" t="s">
        <v>123</v>
      </c>
      <c r="D5" s="69" t="s">
        <v>19</v>
      </c>
      <c r="E5" s="70" t="s">
        <v>20</v>
      </c>
      <c r="F5" s="70" t="s">
        <v>21</v>
      </c>
      <c r="G5" s="70" t="s">
        <v>22</v>
      </c>
      <c r="H5" s="71" t="s">
        <v>23</v>
      </c>
      <c r="J5" s="31"/>
      <c r="K5" s="26"/>
      <c r="L5" s="27"/>
      <c r="M5" s="27"/>
      <c r="N5" s="27"/>
      <c r="O5" s="27"/>
      <c r="P5" s="27"/>
      <c r="Q5" s="27"/>
      <c r="R5" s="27"/>
      <c r="S5" s="27"/>
      <c r="T5" s="27"/>
      <c r="AL5" s="24"/>
    </row>
    <row r="6" spans="3:38" ht="15" hidden="1" customHeight="1" thickBot="1" x14ac:dyDescent="0.35">
      <c r="C6" s="198"/>
      <c r="D6" s="49">
        <v>0</v>
      </c>
      <c r="E6" s="50">
        <v>50</v>
      </c>
      <c r="F6" s="50">
        <v>100</v>
      </c>
      <c r="G6" s="50">
        <v>500</v>
      </c>
      <c r="H6" s="51">
        <v>1000</v>
      </c>
      <c r="K6" s="26"/>
      <c r="L6" s="27"/>
      <c r="M6" s="27"/>
      <c r="N6" s="27"/>
      <c r="O6" s="27"/>
      <c r="P6" s="27"/>
      <c r="Q6" s="27"/>
      <c r="R6" s="27"/>
      <c r="S6" s="27"/>
      <c r="T6" s="27"/>
    </row>
    <row r="7" spans="3:38" x14ac:dyDescent="0.3">
      <c r="C7" s="28" t="s">
        <v>24</v>
      </c>
      <c r="D7" s="74">
        <v>18</v>
      </c>
      <c r="E7" s="75">
        <v>30</v>
      </c>
      <c r="F7" s="75">
        <v>36</v>
      </c>
      <c r="G7" s="75">
        <v>42</v>
      </c>
      <c r="H7" s="76">
        <v>48</v>
      </c>
      <c r="K7" s="26"/>
      <c r="L7" s="27"/>
      <c r="M7" s="27"/>
      <c r="N7" s="27"/>
      <c r="O7" s="27"/>
      <c r="P7" s="27"/>
      <c r="Q7" s="27"/>
      <c r="R7" s="27"/>
      <c r="S7" s="27"/>
      <c r="T7" s="27"/>
    </row>
    <row r="8" spans="3:38" x14ac:dyDescent="0.3">
      <c r="C8" s="1" t="s">
        <v>27</v>
      </c>
      <c r="D8" s="77">
        <v>18</v>
      </c>
      <c r="E8" s="78">
        <v>30</v>
      </c>
      <c r="F8" s="78">
        <v>36</v>
      </c>
      <c r="G8" s="78">
        <v>42</v>
      </c>
      <c r="H8" s="79">
        <v>48</v>
      </c>
      <c r="K8" s="26"/>
      <c r="L8" s="27"/>
      <c r="M8" s="27"/>
      <c r="N8" s="27"/>
      <c r="O8" s="27"/>
      <c r="P8" s="27"/>
      <c r="Q8" s="27"/>
      <c r="R8" s="27"/>
      <c r="S8" s="27"/>
      <c r="T8" s="27"/>
    </row>
    <row r="9" spans="3:38" x14ac:dyDescent="0.3">
      <c r="C9" s="1" t="s">
        <v>129</v>
      </c>
      <c r="D9" s="77">
        <v>24</v>
      </c>
      <c r="E9" s="78">
        <v>24</v>
      </c>
      <c r="F9" s="78">
        <v>30</v>
      </c>
      <c r="G9" s="78">
        <v>36</v>
      </c>
      <c r="H9" s="79">
        <v>42</v>
      </c>
      <c r="K9" s="26"/>
      <c r="L9" s="27"/>
      <c r="M9" s="27"/>
      <c r="N9" s="27"/>
      <c r="O9" s="27"/>
      <c r="P9" s="27"/>
      <c r="Q9" s="27"/>
      <c r="R9" s="27"/>
      <c r="S9" s="27"/>
      <c r="T9" s="27"/>
    </row>
    <row r="10" spans="3:38" x14ac:dyDescent="0.3">
      <c r="C10" s="2" t="s">
        <v>71</v>
      </c>
      <c r="D10" s="77">
        <v>18</v>
      </c>
      <c r="E10" s="78">
        <v>30</v>
      </c>
      <c r="F10" s="78">
        <v>36</v>
      </c>
      <c r="G10" s="78">
        <v>42</v>
      </c>
      <c r="H10" s="79">
        <v>54</v>
      </c>
      <c r="K10" s="26"/>
      <c r="L10" s="27"/>
      <c r="M10" s="27"/>
      <c r="N10" s="27"/>
      <c r="O10" s="27"/>
      <c r="P10" s="27"/>
      <c r="Q10" s="27"/>
      <c r="R10" s="27"/>
      <c r="S10" s="27"/>
      <c r="T10" s="27"/>
    </row>
    <row r="11" spans="3:38" x14ac:dyDescent="0.3">
      <c r="C11" s="1" t="s">
        <v>28</v>
      </c>
      <c r="D11" s="77">
        <v>24</v>
      </c>
      <c r="E11" s="78">
        <v>30</v>
      </c>
      <c r="F11" s="78">
        <v>36</v>
      </c>
      <c r="G11" s="80">
        <v>42</v>
      </c>
      <c r="H11" s="81">
        <v>48</v>
      </c>
      <c r="K11" s="26"/>
      <c r="L11" s="27"/>
      <c r="M11" s="27"/>
      <c r="N11" s="27"/>
      <c r="O11" s="27"/>
      <c r="P11" s="27"/>
      <c r="Q11" s="27"/>
      <c r="R11" s="27"/>
      <c r="S11" s="27"/>
      <c r="T11" s="27"/>
    </row>
    <row r="12" spans="3:38" x14ac:dyDescent="0.3">
      <c r="C12" s="29" t="s">
        <v>29</v>
      </c>
      <c r="D12" s="82">
        <v>18</v>
      </c>
      <c r="E12" s="83">
        <v>30</v>
      </c>
      <c r="F12" s="83">
        <v>36</v>
      </c>
      <c r="G12" s="83">
        <v>42</v>
      </c>
      <c r="H12" s="84">
        <v>54</v>
      </c>
      <c r="K12" s="26"/>
      <c r="L12" s="27"/>
      <c r="M12" s="27"/>
      <c r="N12" s="27"/>
      <c r="O12" s="27"/>
      <c r="P12" s="27"/>
      <c r="Q12" s="27"/>
      <c r="R12" s="27"/>
      <c r="S12" s="27"/>
      <c r="T12" s="27"/>
    </row>
    <row r="13" spans="3:38" x14ac:dyDescent="0.3">
      <c r="C13" s="30" t="s">
        <v>30</v>
      </c>
      <c r="D13" s="77">
        <v>24</v>
      </c>
      <c r="E13" s="78">
        <v>24</v>
      </c>
      <c r="F13" s="78">
        <v>30</v>
      </c>
      <c r="G13" s="78">
        <v>36</v>
      </c>
      <c r="H13" s="79">
        <v>42</v>
      </c>
      <c r="K13" s="26"/>
      <c r="L13" s="27"/>
      <c r="M13" s="27"/>
      <c r="N13" s="27"/>
      <c r="O13" s="27"/>
      <c r="P13" s="27"/>
      <c r="Q13" s="27"/>
      <c r="R13" s="27"/>
      <c r="S13" s="27"/>
      <c r="T13" s="27"/>
    </row>
    <row r="14" spans="3:38" x14ac:dyDescent="0.3">
      <c r="C14" s="30" t="s">
        <v>31</v>
      </c>
      <c r="D14" s="77">
        <v>24</v>
      </c>
      <c r="E14" s="78">
        <v>24</v>
      </c>
      <c r="F14" s="78">
        <v>30</v>
      </c>
      <c r="G14" s="78">
        <v>36</v>
      </c>
      <c r="H14" s="79">
        <v>42</v>
      </c>
      <c r="K14" s="26"/>
      <c r="L14" s="27"/>
      <c r="M14" s="27"/>
      <c r="N14" s="27"/>
      <c r="O14" s="27"/>
      <c r="P14" s="27"/>
      <c r="Q14" s="27"/>
      <c r="R14" s="27"/>
      <c r="S14" s="27"/>
      <c r="T14" s="27"/>
    </row>
    <row r="15" spans="3:38" x14ac:dyDescent="0.3">
      <c r="C15" s="30" t="s">
        <v>32</v>
      </c>
      <c r="D15" s="77">
        <v>24</v>
      </c>
      <c r="E15" s="78">
        <v>24</v>
      </c>
      <c r="F15" s="78">
        <v>30</v>
      </c>
      <c r="G15" s="78">
        <v>36</v>
      </c>
      <c r="H15" s="79">
        <v>42</v>
      </c>
      <c r="K15" s="26"/>
      <c r="L15" s="27"/>
      <c r="M15" s="27"/>
      <c r="N15" s="27"/>
      <c r="O15" s="27"/>
      <c r="P15" s="27"/>
      <c r="Q15" s="27"/>
      <c r="R15" s="27"/>
      <c r="S15" s="27"/>
      <c r="T15" s="27"/>
    </row>
    <row r="16" spans="3:38" x14ac:dyDescent="0.3">
      <c r="C16" s="145" t="s">
        <v>128</v>
      </c>
      <c r="D16" s="77"/>
      <c r="E16" s="78"/>
      <c r="F16" s="78"/>
      <c r="G16" s="78"/>
      <c r="H16" s="79"/>
      <c r="K16" s="26"/>
      <c r="L16" s="27"/>
      <c r="M16" s="27"/>
      <c r="N16" s="27"/>
      <c r="O16" s="27"/>
      <c r="P16" s="27"/>
      <c r="Q16" s="27"/>
      <c r="R16" s="27"/>
      <c r="S16" s="27"/>
      <c r="T16" s="27"/>
    </row>
    <row r="17" spans="3:20" ht="15" thickBot="1" x14ac:dyDescent="0.35">
      <c r="C17" s="146" t="s">
        <v>122</v>
      </c>
      <c r="D17" s="85"/>
      <c r="E17" s="86"/>
      <c r="F17" s="86"/>
      <c r="G17" s="86"/>
      <c r="H17" s="87"/>
      <c r="K17" s="26"/>
      <c r="L17" s="27"/>
      <c r="M17" s="27"/>
      <c r="N17" s="27"/>
      <c r="O17" s="27"/>
      <c r="P17" s="27"/>
      <c r="Q17" s="27"/>
      <c r="R17" s="27"/>
      <c r="S17" s="27"/>
      <c r="T17" s="27"/>
    </row>
    <row r="18" spans="3:20" x14ac:dyDescent="0.3">
      <c r="C18" s="6"/>
      <c r="K18" s="26"/>
      <c r="L18" s="27"/>
      <c r="M18" s="27"/>
      <c r="N18" s="27"/>
      <c r="O18" s="27"/>
      <c r="P18" s="27"/>
      <c r="Q18" s="27"/>
      <c r="R18" s="27"/>
      <c r="S18" s="27"/>
      <c r="T18" s="27"/>
    </row>
    <row r="24" spans="3:20" x14ac:dyDescent="0.3">
      <c r="C24" s="25"/>
    </row>
  </sheetData>
  <mergeCells count="3">
    <mergeCell ref="C5:C6"/>
    <mergeCell ref="D4:H4"/>
    <mergeCell ref="C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4B22-97DA-44AA-8441-7598FF285340}">
  <sheetPr>
    <tabColor rgb="FF00B050"/>
  </sheetPr>
  <dimension ref="B1:AO32"/>
  <sheetViews>
    <sheetView zoomScaleNormal="100" workbookViewId="0">
      <pane ySplit="1" topLeftCell="A2" activePane="bottomLeft" state="frozen"/>
      <selection pane="bottomLeft" activeCell="R1" sqref="R1"/>
    </sheetView>
  </sheetViews>
  <sheetFormatPr defaultColWidth="9.109375" defaultRowHeight="14.4" x14ac:dyDescent="0.3"/>
  <cols>
    <col min="1" max="1" width="2.6640625" style="5" customWidth="1"/>
    <col min="2" max="2" width="27.5546875" style="5" customWidth="1"/>
    <col min="3" max="3" width="15" style="5" customWidth="1"/>
    <col min="4" max="4" width="33.109375" style="5" customWidth="1"/>
    <col min="5" max="5" width="9.6640625" style="5" customWidth="1"/>
    <col min="6" max="6" width="11.88671875" style="5" customWidth="1"/>
    <col min="7" max="7" width="11.33203125" style="5" customWidth="1"/>
    <col min="8" max="8" width="17.33203125" style="5" customWidth="1"/>
    <col min="9" max="9" width="15.109375" style="5" bestFit="1" customWidth="1"/>
    <col min="10" max="12" width="5" style="5" bestFit="1" customWidth="1"/>
    <col min="13" max="36" width="6" style="5" bestFit="1" customWidth="1"/>
    <col min="37" max="39" width="5" style="5" bestFit="1" customWidth="1"/>
    <col min="40" max="40" width="4.6640625" style="5" customWidth="1"/>
    <col min="41" max="16384" width="9.109375" style="5"/>
  </cols>
  <sheetData>
    <row r="1" spans="2:41" ht="150" customHeight="1" x14ac:dyDescent="0.3"/>
    <row r="2" spans="2:41" ht="23.4" x14ac:dyDescent="0.45">
      <c r="B2" s="202" t="s">
        <v>147</v>
      </c>
      <c r="C2" s="202"/>
      <c r="D2" s="202"/>
      <c r="E2" s="202"/>
      <c r="F2" s="202"/>
      <c r="G2" s="202"/>
    </row>
    <row r="3" spans="2:41" ht="15" thickBot="1" x14ac:dyDescent="0.35"/>
    <row r="4" spans="2:41" ht="15" hidden="1" thickBot="1" x14ac:dyDescent="0.35">
      <c r="E4" s="19" t="s">
        <v>33</v>
      </c>
      <c r="F4" s="44" t="s">
        <v>34</v>
      </c>
      <c r="G4" s="34" t="s">
        <v>26</v>
      </c>
    </row>
    <row r="5" spans="2:41" ht="15" hidden="1" thickBot="1" x14ac:dyDescent="0.35">
      <c r="B5"/>
      <c r="C5"/>
      <c r="D5"/>
      <c r="E5" s="12">
        <f>E6/24</f>
        <v>4.1666666666666666E-3</v>
      </c>
      <c r="F5" s="13"/>
      <c r="G5" s="14">
        <f t="shared" ref="G5" si="0">G6/24</f>
        <v>4.1666666666666666E-3</v>
      </c>
    </row>
    <row r="6" spans="2:41" ht="15" thickBot="1" x14ac:dyDescent="0.35">
      <c r="D6" s="165" t="s">
        <v>35</v>
      </c>
      <c r="E6" s="157">
        <v>0.1</v>
      </c>
      <c r="F6" s="158">
        <v>0.8</v>
      </c>
      <c r="G6" s="159">
        <v>0.1</v>
      </c>
    </row>
    <row r="7" spans="2:41" ht="15" thickBot="1" x14ac:dyDescent="0.35">
      <c r="B7" s="64" t="s">
        <v>36</v>
      </c>
      <c r="C7" s="132" t="s">
        <v>155</v>
      </c>
      <c r="D7" s="153" t="s">
        <v>115</v>
      </c>
      <c r="E7" s="154" t="s">
        <v>33</v>
      </c>
      <c r="F7" s="155" t="s">
        <v>34</v>
      </c>
      <c r="G7" s="156" t="s">
        <v>26</v>
      </c>
    </row>
    <row r="8" spans="2:41" x14ac:dyDescent="0.3">
      <c r="B8" s="90" t="s">
        <v>38</v>
      </c>
      <c r="C8" s="95" t="s">
        <v>154</v>
      </c>
      <c r="D8" s="41" t="s">
        <v>126</v>
      </c>
      <c r="E8" s="39">
        <v>1</v>
      </c>
      <c r="F8" s="22">
        <v>0.75</v>
      </c>
      <c r="G8" s="23">
        <v>0.5</v>
      </c>
    </row>
    <row r="9" spans="2:41" x14ac:dyDescent="0.3">
      <c r="B9" s="91" t="s">
        <v>40</v>
      </c>
      <c r="C9" s="96" t="s">
        <v>154</v>
      </c>
      <c r="D9" s="38" t="s">
        <v>126</v>
      </c>
      <c r="E9" s="12">
        <v>0</v>
      </c>
      <c r="F9" s="13">
        <v>0</v>
      </c>
      <c r="G9" s="14">
        <v>0</v>
      </c>
    </row>
    <row r="10" spans="2:41" ht="15" thickBot="1" x14ac:dyDescent="0.35">
      <c r="B10" s="92" t="s">
        <v>42</v>
      </c>
      <c r="C10" s="96" t="s">
        <v>154</v>
      </c>
      <c r="D10" s="16" t="s">
        <v>126</v>
      </c>
      <c r="E10" s="88">
        <v>1</v>
      </c>
      <c r="F10" s="89">
        <v>0</v>
      </c>
      <c r="G10" s="17">
        <v>0</v>
      </c>
    </row>
    <row r="11" spans="2:41" x14ac:dyDescent="0.3">
      <c r="B11" s="90" t="s">
        <v>44</v>
      </c>
      <c r="C11" s="95" t="s">
        <v>154</v>
      </c>
      <c r="D11" s="95" t="s">
        <v>127</v>
      </c>
      <c r="E11" s="13">
        <v>0.25</v>
      </c>
      <c r="F11" s="13">
        <v>0.75</v>
      </c>
      <c r="G11" s="13">
        <v>0.5</v>
      </c>
      <c r="AO11" s="43"/>
    </row>
    <row r="12" spans="2:41" x14ac:dyDescent="0.3">
      <c r="B12" s="91" t="s">
        <v>45</v>
      </c>
      <c r="C12" s="96" t="s">
        <v>43</v>
      </c>
      <c r="D12" s="96" t="s">
        <v>127</v>
      </c>
      <c r="E12" s="13">
        <v>0</v>
      </c>
      <c r="F12" s="13">
        <v>0.75</v>
      </c>
      <c r="G12" s="13">
        <v>0.5</v>
      </c>
      <c r="AO12" s="43"/>
    </row>
    <row r="13" spans="2:41" x14ac:dyDescent="0.3">
      <c r="B13" s="91" t="s">
        <v>46</v>
      </c>
      <c r="C13" s="96" t="s">
        <v>41</v>
      </c>
      <c r="D13" s="96" t="s">
        <v>127</v>
      </c>
      <c r="E13" s="13">
        <v>0</v>
      </c>
      <c r="F13" s="13">
        <v>0.75</v>
      </c>
      <c r="G13" s="13">
        <v>0.5</v>
      </c>
      <c r="AO13" s="43"/>
    </row>
    <row r="14" spans="2:41" x14ac:dyDescent="0.3">
      <c r="B14" s="91" t="s">
        <v>47</v>
      </c>
      <c r="C14" s="96" t="s">
        <v>39</v>
      </c>
      <c r="D14" s="96" t="s">
        <v>127</v>
      </c>
      <c r="E14" s="13">
        <v>0</v>
      </c>
      <c r="F14" s="13">
        <v>0.75</v>
      </c>
      <c r="G14" s="13">
        <v>0.5</v>
      </c>
    </row>
    <row r="15" spans="2:41" ht="15" thickBot="1" x14ac:dyDescent="0.35">
      <c r="B15" s="92" t="s">
        <v>11</v>
      </c>
      <c r="C15" s="97" t="s">
        <v>154</v>
      </c>
      <c r="D15" s="97" t="s">
        <v>127</v>
      </c>
      <c r="E15" s="13">
        <v>0.25</v>
      </c>
      <c r="F15" s="13">
        <v>0.75</v>
      </c>
      <c r="G15" s="13">
        <v>0</v>
      </c>
    </row>
    <row r="16" spans="2:41" x14ac:dyDescent="0.3">
      <c r="B16" s="90" t="s">
        <v>7</v>
      </c>
      <c r="C16" s="96" t="s">
        <v>154</v>
      </c>
      <c r="D16" s="41" t="s">
        <v>125</v>
      </c>
      <c r="E16" s="39">
        <v>0.25</v>
      </c>
      <c r="F16" s="22">
        <v>0.75</v>
      </c>
      <c r="G16" s="23">
        <v>0.5</v>
      </c>
    </row>
    <row r="17" spans="2:7" x14ac:dyDescent="0.3">
      <c r="B17" s="91" t="s">
        <v>48</v>
      </c>
      <c r="C17" s="96" t="s">
        <v>43</v>
      </c>
      <c r="D17" s="38" t="s">
        <v>125</v>
      </c>
      <c r="E17" s="12">
        <v>0</v>
      </c>
      <c r="F17" s="13">
        <v>0</v>
      </c>
      <c r="G17" s="14">
        <v>0</v>
      </c>
    </row>
    <row r="18" spans="2:7" x14ac:dyDescent="0.3">
      <c r="B18" s="91" t="s">
        <v>49</v>
      </c>
      <c r="C18" s="96" t="s">
        <v>41</v>
      </c>
      <c r="D18" s="38" t="s">
        <v>125</v>
      </c>
      <c r="E18" s="12">
        <v>0</v>
      </c>
      <c r="F18" s="13">
        <v>0</v>
      </c>
      <c r="G18" s="14">
        <v>0</v>
      </c>
    </row>
    <row r="19" spans="2:7" x14ac:dyDescent="0.3">
      <c r="B19" s="91" t="s">
        <v>50</v>
      </c>
      <c r="C19" s="96" t="s">
        <v>39</v>
      </c>
      <c r="D19" s="38" t="s">
        <v>125</v>
      </c>
      <c r="E19" s="12">
        <v>0</v>
      </c>
      <c r="F19" s="13">
        <v>0</v>
      </c>
      <c r="G19" s="14">
        <v>0</v>
      </c>
    </row>
    <row r="20" spans="2:7" x14ac:dyDescent="0.3">
      <c r="B20" s="91" t="s">
        <v>51</v>
      </c>
      <c r="C20" s="96" t="s">
        <v>154</v>
      </c>
      <c r="D20" s="38" t="s">
        <v>125</v>
      </c>
      <c r="E20" s="12">
        <v>0.5</v>
      </c>
      <c r="F20" s="13">
        <v>0.75</v>
      </c>
      <c r="G20" s="14">
        <v>0.5</v>
      </c>
    </row>
    <row r="21" spans="2:7" x14ac:dyDescent="0.3">
      <c r="B21" s="91" t="s">
        <v>52</v>
      </c>
      <c r="C21" s="96" t="s">
        <v>43</v>
      </c>
      <c r="D21" s="38" t="s">
        <v>125</v>
      </c>
      <c r="E21" s="12">
        <v>0.25</v>
      </c>
      <c r="F21" s="13">
        <v>0.75</v>
      </c>
      <c r="G21" s="14">
        <v>0.5</v>
      </c>
    </row>
    <row r="22" spans="2:7" x14ac:dyDescent="0.3">
      <c r="B22" s="91" t="s">
        <v>53</v>
      </c>
      <c r="C22" s="96" t="s">
        <v>41</v>
      </c>
      <c r="D22" s="38" t="s">
        <v>125</v>
      </c>
      <c r="E22" s="12">
        <v>0.25</v>
      </c>
      <c r="F22" s="13">
        <v>0.75</v>
      </c>
      <c r="G22" s="14">
        <v>0.5</v>
      </c>
    </row>
    <row r="23" spans="2:7" ht="15" thickBot="1" x14ac:dyDescent="0.35">
      <c r="B23" s="91" t="s">
        <v>54</v>
      </c>
      <c r="C23" s="96" t="s">
        <v>39</v>
      </c>
      <c r="D23" s="38" t="s">
        <v>125</v>
      </c>
      <c r="E23" s="88">
        <v>0.25</v>
      </c>
      <c r="F23" s="89">
        <v>0.75</v>
      </c>
      <c r="G23" s="17">
        <v>0.5</v>
      </c>
    </row>
    <row r="24" spans="2:7" x14ac:dyDescent="0.3">
      <c r="B24" s="90" t="s">
        <v>55</v>
      </c>
      <c r="C24" s="95" t="s">
        <v>154</v>
      </c>
      <c r="D24" s="41" t="s">
        <v>124</v>
      </c>
      <c r="E24" s="39">
        <v>0.5</v>
      </c>
      <c r="F24" s="22">
        <v>0.75</v>
      </c>
      <c r="G24" s="23">
        <v>0.5</v>
      </c>
    </row>
    <row r="25" spans="2:7" x14ac:dyDescent="0.3">
      <c r="B25" s="91" t="s">
        <v>56</v>
      </c>
      <c r="C25" s="96" t="s">
        <v>154</v>
      </c>
      <c r="D25" s="38" t="s">
        <v>124</v>
      </c>
      <c r="E25" s="12">
        <v>0</v>
      </c>
      <c r="F25" s="13">
        <v>0.75</v>
      </c>
      <c r="G25" s="14">
        <v>0.5</v>
      </c>
    </row>
    <row r="26" spans="2:7" x14ac:dyDescent="0.3">
      <c r="B26" s="91" t="s">
        <v>17</v>
      </c>
      <c r="C26" s="96" t="s">
        <v>154</v>
      </c>
      <c r="D26" s="38" t="s">
        <v>124</v>
      </c>
      <c r="E26" s="12">
        <v>0</v>
      </c>
      <c r="F26" s="13">
        <v>0.75</v>
      </c>
      <c r="G26" s="14">
        <v>0.5</v>
      </c>
    </row>
    <row r="27" spans="2:7" x14ac:dyDescent="0.3">
      <c r="B27" s="91" t="s">
        <v>57</v>
      </c>
      <c r="C27" s="96" t="s">
        <v>154</v>
      </c>
      <c r="D27" s="38" t="s">
        <v>124</v>
      </c>
      <c r="E27" s="12">
        <v>0.5</v>
      </c>
      <c r="F27" s="13">
        <v>0.75</v>
      </c>
      <c r="G27" s="14">
        <v>0.5</v>
      </c>
    </row>
    <row r="28" spans="2:7" ht="15" thickBot="1" x14ac:dyDescent="0.35">
      <c r="B28" s="92" t="s">
        <v>58</v>
      </c>
      <c r="C28" s="97" t="s">
        <v>154</v>
      </c>
      <c r="D28" s="16" t="s">
        <v>124</v>
      </c>
      <c r="E28" s="88">
        <v>0.5</v>
      </c>
      <c r="F28" s="89">
        <v>0.75</v>
      </c>
      <c r="G28" s="17">
        <v>0.5</v>
      </c>
    </row>
    <row r="29" spans="2:7" x14ac:dyDescent="0.3">
      <c r="B29" s="63" t="s">
        <v>59</v>
      </c>
      <c r="C29" s="96" t="s">
        <v>154</v>
      </c>
      <c r="D29" s="38" t="s">
        <v>126</v>
      </c>
      <c r="E29" s="39">
        <v>0.25</v>
      </c>
      <c r="F29" s="22">
        <v>0.75</v>
      </c>
      <c r="G29" s="23">
        <v>0.5</v>
      </c>
    </row>
    <row r="30" spans="2:7" x14ac:dyDescent="0.3">
      <c r="B30" s="63" t="s">
        <v>60</v>
      </c>
      <c r="C30" s="96" t="s">
        <v>154</v>
      </c>
      <c r="D30" s="38" t="s">
        <v>126</v>
      </c>
      <c r="E30" s="12">
        <v>0.25</v>
      </c>
      <c r="F30" s="13">
        <v>0.75</v>
      </c>
      <c r="G30" s="14">
        <v>0.5</v>
      </c>
    </row>
    <row r="31" spans="2:7" ht="13.95" customHeight="1" x14ac:dyDescent="0.3">
      <c r="B31" s="63" t="s">
        <v>61</v>
      </c>
      <c r="C31" s="96" t="s">
        <v>154</v>
      </c>
      <c r="D31" s="38" t="s">
        <v>126</v>
      </c>
      <c r="E31" s="12">
        <v>0</v>
      </c>
      <c r="F31" s="13">
        <v>0</v>
      </c>
      <c r="G31" s="14">
        <v>0</v>
      </c>
    </row>
    <row r="32" spans="2:7" ht="15.6" customHeight="1" thickBot="1" x14ac:dyDescent="0.35">
      <c r="B32" s="63" t="s">
        <v>62</v>
      </c>
      <c r="C32" s="96" t="s">
        <v>154</v>
      </c>
      <c r="D32" s="38" t="s">
        <v>126</v>
      </c>
      <c r="E32" s="88">
        <v>0</v>
      </c>
      <c r="F32" s="89">
        <v>0</v>
      </c>
      <c r="G32" s="17">
        <v>0</v>
      </c>
    </row>
  </sheetData>
  <mergeCells count="1">
    <mergeCell ref="B2:G2"/>
  </mergeCells>
  <conditionalFormatting sqref="B8:B31">
    <cfRule type="duplicateValues" dxfId="0" priority="12"/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7159-930B-402C-B6A1-C2D8FD16E347}">
  <sheetPr>
    <tabColor rgb="FF0070C0"/>
  </sheetPr>
  <dimension ref="B1:AG51"/>
  <sheetViews>
    <sheetView zoomScaleNormal="100" workbookViewId="0">
      <selection activeCell="D24" sqref="D24"/>
    </sheetView>
  </sheetViews>
  <sheetFormatPr defaultColWidth="9.109375" defaultRowHeight="14.4" x14ac:dyDescent="0.3"/>
  <cols>
    <col min="1" max="1" width="3.5546875" style="5" customWidth="1"/>
    <col min="2" max="2" width="39.44140625" style="5" customWidth="1"/>
    <col min="3" max="3" width="32.88671875" style="5" customWidth="1"/>
    <col min="4" max="4" width="23.109375" style="5" customWidth="1"/>
    <col min="5" max="10" width="5.44140625" style="5" bestFit="1" customWidth="1"/>
    <col min="11" max="28" width="6" style="5" bestFit="1" customWidth="1"/>
    <col min="29" max="31" width="5.44140625" style="5" customWidth="1"/>
    <col min="32" max="16384" width="9.109375" style="5"/>
  </cols>
  <sheetData>
    <row r="1" spans="2:33" ht="139.94999999999999" customHeight="1" thickBot="1" x14ac:dyDescent="0.35"/>
    <row r="2" spans="2:33" ht="24" thickBot="1" x14ac:dyDescent="0.5">
      <c r="B2" s="172" t="s">
        <v>148</v>
      </c>
      <c r="C2" s="177" t="s">
        <v>71</v>
      </c>
      <c r="D2" s="178"/>
      <c r="E2" s="178"/>
      <c r="F2" s="178"/>
      <c r="G2" s="178"/>
      <c r="H2" s="178"/>
      <c r="I2" s="178"/>
      <c r="J2" s="179"/>
    </row>
    <row r="3" spans="2:33" ht="15" thickBot="1" x14ac:dyDescent="0.35"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</row>
    <row r="4" spans="2:33" ht="16.2" customHeight="1" thickBot="1" x14ac:dyDescent="0.35">
      <c r="B4" s="99" t="s">
        <v>73</v>
      </c>
      <c r="C4" s="94" t="s">
        <v>123</v>
      </c>
      <c r="D4" s="73" t="s">
        <v>64</v>
      </c>
      <c r="E4" s="180" t="s">
        <v>25</v>
      </c>
      <c r="F4" s="181"/>
      <c r="G4" s="181"/>
      <c r="H4" s="181"/>
      <c r="I4" s="181"/>
      <c r="J4" s="182"/>
      <c r="K4" s="183" t="s">
        <v>0</v>
      </c>
      <c r="L4" s="184"/>
      <c r="M4" s="184"/>
      <c r="N4" s="184"/>
      <c r="O4" s="184"/>
      <c r="P4" s="185"/>
      <c r="Q4" s="186" t="s">
        <v>1</v>
      </c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8"/>
      <c r="AC4" s="189" t="s">
        <v>26</v>
      </c>
      <c r="AD4" s="190"/>
      <c r="AE4" s="191"/>
      <c r="AG4" s="25"/>
    </row>
    <row r="5" spans="2:33" ht="15" hidden="1" customHeight="1" thickBot="1" x14ac:dyDescent="0.35">
      <c r="B5" s="107" t="s">
        <v>114</v>
      </c>
      <c r="C5" s="43" t="s">
        <v>116</v>
      </c>
      <c r="D5" s="72" t="s">
        <v>117</v>
      </c>
      <c r="E5" s="3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4" t="s">
        <v>79</v>
      </c>
      <c r="K5" s="3" t="s">
        <v>80</v>
      </c>
      <c r="L5" s="38" t="s">
        <v>81</v>
      </c>
      <c r="M5" s="38" t="s">
        <v>82</v>
      </c>
      <c r="N5" s="38" t="s">
        <v>83</v>
      </c>
      <c r="O5" s="38" t="s">
        <v>84</v>
      </c>
      <c r="P5" s="4" t="s">
        <v>85</v>
      </c>
      <c r="Q5" s="3" t="s">
        <v>86</v>
      </c>
      <c r="R5" s="38" t="s">
        <v>87</v>
      </c>
      <c r="S5" s="38" t="s">
        <v>88</v>
      </c>
      <c r="T5" s="38" t="s">
        <v>89</v>
      </c>
      <c r="U5" s="38" t="s">
        <v>90</v>
      </c>
      <c r="V5" s="38" t="s">
        <v>91</v>
      </c>
      <c r="W5" s="38" t="s">
        <v>92</v>
      </c>
      <c r="X5" s="38" t="s">
        <v>93</v>
      </c>
      <c r="Y5" s="38" t="s">
        <v>94</v>
      </c>
      <c r="Z5" s="38" t="s">
        <v>95</v>
      </c>
      <c r="AA5" s="38" t="s">
        <v>96</v>
      </c>
      <c r="AB5" s="4" t="s">
        <v>97</v>
      </c>
      <c r="AC5" s="38" t="s">
        <v>98</v>
      </c>
      <c r="AD5" s="38" t="s">
        <v>99</v>
      </c>
      <c r="AE5" s="38" t="s">
        <v>100</v>
      </c>
    </row>
    <row r="6" spans="2:33" ht="15" customHeight="1" x14ac:dyDescent="0.3">
      <c r="B6" s="90" t="s">
        <v>3</v>
      </c>
      <c r="C6" s="41" t="str">
        <f>$C$2</f>
        <v>Transmission and Distribution</v>
      </c>
      <c r="D6" s="95" t="s">
        <v>2</v>
      </c>
      <c r="E6" s="108">
        <v>0.25</v>
      </c>
      <c r="F6" s="109">
        <v>0.25</v>
      </c>
      <c r="G6" s="109">
        <v>0.25</v>
      </c>
      <c r="H6" s="109">
        <v>0.45</v>
      </c>
      <c r="I6" s="109">
        <v>0.45</v>
      </c>
      <c r="J6" s="112">
        <v>0.45</v>
      </c>
      <c r="K6" s="111">
        <v>0.65</v>
      </c>
      <c r="L6" s="111">
        <v>0.65</v>
      </c>
      <c r="M6" s="111">
        <v>0.65</v>
      </c>
      <c r="N6" s="111">
        <v>0.85</v>
      </c>
      <c r="O6" s="111">
        <v>0.85</v>
      </c>
      <c r="P6" s="111">
        <v>0.85</v>
      </c>
      <c r="Q6" s="123">
        <v>0.85</v>
      </c>
      <c r="R6" s="111">
        <v>0.85</v>
      </c>
      <c r="S6" s="111">
        <v>0.85</v>
      </c>
      <c r="T6" s="111">
        <v>0.85</v>
      </c>
      <c r="U6" s="111">
        <v>0.85</v>
      </c>
      <c r="V6" s="111">
        <v>0.85</v>
      </c>
      <c r="W6" s="111">
        <v>0.85</v>
      </c>
      <c r="X6" s="111">
        <v>0.85</v>
      </c>
      <c r="Y6" s="111">
        <v>0.85</v>
      </c>
      <c r="Z6" s="111">
        <v>0.85</v>
      </c>
      <c r="AA6" s="111">
        <v>0.85</v>
      </c>
      <c r="AB6" s="112">
        <v>0.85</v>
      </c>
      <c r="AC6" s="108">
        <v>0.5</v>
      </c>
      <c r="AD6" s="109">
        <v>0.4</v>
      </c>
      <c r="AE6" s="110">
        <v>0.25</v>
      </c>
    </row>
    <row r="7" spans="2:33" x14ac:dyDescent="0.3">
      <c r="B7" s="91" t="s">
        <v>4</v>
      </c>
      <c r="C7" s="38" t="str">
        <f t="shared" ref="C7:C18" si="0">$C$2</f>
        <v>Transmission and Distribution</v>
      </c>
      <c r="D7" s="96" t="s">
        <v>2</v>
      </c>
      <c r="E7" s="113">
        <v>0.05</v>
      </c>
      <c r="F7" s="114">
        <v>0.05</v>
      </c>
      <c r="G7" s="114">
        <v>0.05</v>
      </c>
      <c r="H7" s="114">
        <v>0.05</v>
      </c>
      <c r="I7" s="114">
        <v>0.05</v>
      </c>
      <c r="J7" s="115">
        <v>0.05</v>
      </c>
      <c r="K7" s="114">
        <v>0.05</v>
      </c>
      <c r="L7" s="114">
        <v>0.05</v>
      </c>
      <c r="M7" s="114">
        <v>0.05</v>
      </c>
      <c r="N7" s="114">
        <v>0.05</v>
      </c>
      <c r="O7" s="114">
        <v>0.05</v>
      </c>
      <c r="P7" s="114">
        <v>0.05</v>
      </c>
      <c r="Q7" s="113">
        <v>0.05</v>
      </c>
      <c r="R7" s="114">
        <v>0.05</v>
      </c>
      <c r="S7" s="114">
        <v>0.05</v>
      </c>
      <c r="T7" s="114">
        <v>0.05</v>
      </c>
      <c r="U7" s="114">
        <v>0.05</v>
      </c>
      <c r="V7" s="114">
        <v>0.05</v>
      </c>
      <c r="W7" s="114">
        <v>0.05</v>
      </c>
      <c r="X7" s="114">
        <v>0.05</v>
      </c>
      <c r="Y7" s="114">
        <v>0.05</v>
      </c>
      <c r="Z7" s="114">
        <v>0.05</v>
      </c>
      <c r="AA7" s="114">
        <v>0.05</v>
      </c>
      <c r="AB7" s="115">
        <v>0.05</v>
      </c>
      <c r="AC7" s="113">
        <v>0.05</v>
      </c>
      <c r="AD7" s="114">
        <v>0.05</v>
      </c>
      <c r="AE7" s="115">
        <v>0.05</v>
      </c>
    </row>
    <row r="8" spans="2:33" ht="15" thickBot="1" x14ac:dyDescent="0.35">
      <c r="B8" s="92" t="s">
        <v>5</v>
      </c>
      <c r="C8" s="16" t="str">
        <f t="shared" si="0"/>
        <v>Transmission and Distribution</v>
      </c>
      <c r="D8" s="97" t="s">
        <v>2</v>
      </c>
      <c r="E8" s="113">
        <v>0.05</v>
      </c>
      <c r="F8" s="114">
        <v>0.05</v>
      </c>
      <c r="G8" s="114">
        <v>0.1</v>
      </c>
      <c r="H8" s="114">
        <v>0.1</v>
      </c>
      <c r="I8" s="114">
        <v>0.15</v>
      </c>
      <c r="J8" s="117">
        <v>0.15</v>
      </c>
      <c r="K8" s="114">
        <v>0.25</v>
      </c>
      <c r="L8" s="114">
        <v>0.25</v>
      </c>
      <c r="M8" s="114">
        <v>0.25</v>
      </c>
      <c r="N8" s="114">
        <v>0.25</v>
      </c>
      <c r="O8" s="114">
        <v>0.25</v>
      </c>
      <c r="P8" s="114">
        <v>0.25</v>
      </c>
      <c r="Q8" s="113">
        <v>0.25</v>
      </c>
      <c r="R8" s="114">
        <v>0.25</v>
      </c>
      <c r="S8" s="114">
        <v>0.25</v>
      </c>
      <c r="T8" s="114">
        <v>0.25</v>
      </c>
      <c r="U8" s="114">
        <v>0.25</v>
      </c>
      <c r="V8" s="114">
        <v>0.25</v>
      </c>
      <c r="W8" s="114">
        <v>0.25</v>
      </c>
      <c r="X8" s="114">
        <v>0.25</v>
      </c>
      <c r="Y8" s="114">
        <v>0.25</v>
      </c>
      <c r="Z8" s="114">
        <v>0.25</v>
      </c>
      <c r="AA8" s="114">
        <v>0.25</v>
      </c>
      <c r="AB8" s="115">
        <v>0.25</v>
      </c>
      <c r="AC8" s="113">
        <v>0.25</v>
      </c>
      <c r="AD8" s="114">
        <v>0.25</v>
      </c>
      <c r="AE8" s="115">
        <v>0.25</v>
      </c>
    </row>
    <row r="9" spans="2:33" x14ac:dyDescent="0.3">
      <c r="B9" s="90" t="s">
        <v>118</v>
      </c>
      <c r="C9" s="41" t="str">
        <f t="shared" si="0"/>
        <v>Transmission and Distribution</v>
      </c>
      <c r="D9" s="95" t="s">
        <v>6</v>
      </c>
      <c r="E9" s="108">
        <v>0.05</v>
      </c>
      <c r="F9" s="109">
        <v>0.05</v>
      </c>
      <c r="G9" s="109">
        <v>0.05</v>
      </c>
      <c r="H9" s="109">
        <v>0.05</v>
      </c>
      <c r="I9" s="109">
        <v>0.05</v>
      </c>
      <c r="J9" s="110">
        <v>0.05</v>
      </c>
      <c r="K9" s="108">
        <v>0.1</v>
      </c>
      <c r="L9" s="109">
        <v>0.1</v>
      </c>
      <c r="M9" s="109">
        <v>0.1</v>
      </c>
      <c r="N9" s="109">
        <v>0.1</v>
      </c>
      <c r="O9" s="109">
        <v>0.1</v>
      </c>
      <c r="P9" s="109">
        <v>0.1</v>
      </c>
      <c r="Q9" s="108">
        <v>0.1</v>
      </c>
      <c r="R9" s="109">
        <v>0.1</v>
      </c>
      <c r="S9" s="109">
        <v>0.1</v>
      </c>
      <c r="T9" s="109">
        <v>0.1</v>
      </c>
      <c r="U9" s="109">
        <v>0.1</v>
      </c>
      <c r="V9" s="109">
        <v>0.1</v>
      </c>
      <c r="W9" s="109">
        <v>0.1</v>
      </c>
      <c r="X9" s="109">
        <v>0.1</v>
      </c>
      <c r="Y9" s="109">
        <v>0.1</v>
      </c>
      <c r="Z9" s="109">
        <v>0.1</v>
      </c>
      <c r="AA9" s="109">
        <v>0.1</v>
      </c>
      <c r="AB9" s="110">
        <v>0.1</v>
      </c>
      <c r="AC9" s="108">
        <v>0.05</v>
      </c>
      <c r="AD9" s="109">
        <v>0.05</v>
      </c>
      <c r="AE9" s="110">
        <v>0</v>
      </c>
    </row>
    <row r="10" spans="2:33" x14ac:dyDescent="0.3">
      <c r="B10" s="91" t="s">
        <v>119</v>
      </c>
      <c r="C10" s="38" t="str">
        <f t="shared" si="0"/>
        <v>Transmission and Distribution</v>
      </c>
      <c r="D10" s="96" t="s">
        <v>6</v>
      </c>
      <c r="E10" s="113">
        <v>0.05</v>
      </c>
      <c r="F10" s="114">
        <v>0.05</v>
      </c>
      <c r="G10" s="114">
        <v>0.05</v>
      </c>
      <c r="H10" s="114">
        <v>0.05</v>
      </c>
      <c r="I10" s="114">
        <v>0.05</v>
      </c>
      <c r="J10" s="115">
        <v>0.05</v>
      </c>
      <c r="K10" s="113">
        <v>0.1</v>
      </c>
      <c r="L10" s="114">
        <v>0.1</v>
      </c>
      <c r="M10" s="114">
        <v>0.1</v>
      </c>
      <c r="N10" s="114">
        <v>0.1</v>
      </c>
      <c r="O10" s="114">
        <v>0.1</v>
      </c>
      <c r="P10" s="114">
        <v>0.1</v>
      </c>
      <c r="Q10" s="113">
        <v>0.1</v>
      </c>
      <c r="R10" s="114">
        <v>0.1</v>
      </c>
      <c r="S10" s="114">
        <v>0.1</v>
      </c>
      <c r="T10" s="114">
        <v>0.1</v>
      </c>
      <c r="U10" s="114">
        <v>0.1</v>
      </c>
      <c r="V10" s="114">
        <v>0.1</v>
      </c>
      <c r="W10" s="114">
        <v>0.1</v>
      </c>
      <c r="X10" s="114">
        <v>0.1</v>
      </c>
      <c r="Y10" s="114">
        <v>0.1</v>
      </c>
      <c r="Z10" s="114">
        <v>0.1</v>
      </c>
      <c r="AA10" s="114">
        <v>0.1</v>
      </c>
      <c r="AB10" s="115">
        <v>0.1</v>
      </c>
      <c r="AC10" s="113">
        <v>0.05</v>
      </c>
      <c r="AD10" s="114">
        <v>0.05</v>
      </c>
      <c r="AE10" s="115">
        <v>0</v>
      </c>
    </row>
    <row r="11" spans="2:33" ht="15" thickBot="1" x14ac:dyDescent="0.35">
      <c r="B11" s="92" t="s">
        <v>120</v>
      </c>
      <c r="C11" s="16" t="str">
        <f t="shared" si="0"/>
        <v>Transmission and Distribution</v>
      </c>
      <c r="D11" s="97" t="s">
        <v>6</v>
      </c>
      <c r="E11" s="113">
        <v>0.05</v>
      </c>
      <c r="F11" s="114">
        <v>0.05</v>
      </c>
      <c r="G11" s="114">
        <v>0.05</v>
      </c>
      <c r="H11" s="114">
        <v>0.05</v>
      </c>
      <c r="I11" s="114">
        <v>0.05</v>
      </c>
      <c r="J11" s="115">
        <v>0.05</v>
      </c>
      <c r="K11" s="118">
        <v>0.1</v>
      </c>
      <c r="L11" s="119">
        <v>0.1</v>
      </c>
      <c r="M11" s="119">
        <v>0.1</v>
      </c>
      <c r="N11" s="119">
        <v>0.1</v>
      </c>
      <c r="O11" s="119">
        <v>0.1</v>
      </c>
      <c r="P11" s="119">
        <v>0.1</v>
      </c>
      <c r="Q11" s="118">
        <v>0.1</v>
      </c>
      <c r="R11" s="119">
        <v>0.1</v>
      </c>
      <c r="S11" s="119">
        <v>0.1</v>
      </c>
      <c r="T11" s="119">
        <v>0.1</v>
      </c>
      <c r="U11" s="119">
        <v>0.1</v>
      </c>
      <c r="V11" s="119">
        <v>0.1</v>
      </c>
      <c r="W11" s="119">
        <v>0.1</v>
      </c>
      <c r="X11" s="119">
        <v>0.1</v>
      </c>
      <c r="Y11" s="119">
        <v>0.1</v>
      </c>
      <c r="Z11" s="119">
        <v>0.1</v>
      </c>
      <c r="AA11" s="119">
        <v>0.1</v>
      </c>
      <c r="AB11" s="120">
        <v>0.1</v>
      </c>
      <c r="AC11" s="118">
        <v>0.05</v>
      </c>
      <c r="AD11" s="119">
        <v>0.05</v>
      </c>
      <c r="AE11" s="120">
        <v>0</v>
      </c>
    </row>
    <row r="12" spans="2:33" x14ac:dyDescent="0.3">
      <c r="B12" s="91" t="s">
        <v>9</v>
      </c>
      <c r="C12" s="38" t="str">
        <f t="shared" si="0"/>
        <v>Transmission and Distribution</v>
      </c>
      <c r="D12" s="96" t="s">
        <v>8</v>
      </c>
      <c r="E12" s="108">
        <v>0</v>
      </c>
      <c r="F12" s="109">
        <v>0</v>
      </c>
      <c r="G12" s="109">
        <v>0</v>
      </c>
      <c r="H12" s="109">
        <v>0.25</v>
      </c>
      <c r="I12" s="109">
        <v>0.25</v>
      </c>
      <c r="J12" s="112">
        <v>0.25</v>
      </c>
      <c r="K12" s="108">
        <v>0.5</v>
      </c>
      <c r="L12" s="109">
        <v>0.5</v>
      </c>
      <c r="M12" s="109">
        <v>0.5</v>
      </c>
      <c r="N12" s="109">
        <v>0.75</v>
      </c>
      <c r="O12" s="109">
        <v>0.75</v>
      </c>
      <c r="P12" s="109">
        <v>0.75</v>
      </c>
      <c r="Q12" s="108">
        <v>0.75</v>
      </c>
      <c r="R12" s="109">
        <v>0.75</v>
      </c>
      <c r="S12" s="109">
        <v>0.75</v>
      </c>
      <c r="T12" s="109">
        <v>0.75</v>
      </c>
      <c r="U12" s="109">
        <v>0.75</v>
      </c>
      <c r="V12" s="109">
        <v>0.75</v>
      </c>
      <c r="W12" s="109">
        <v>0.75</v>
      </c>
      <c r="X12" s="109">
        <v>0.75</v>
      </c>
      <c r="Y12" s="109">
        <v>0.75</v>
      </c>
      <c r="Z12" s="109">
        <v>0.75</v>
      </c>
      <c r="AA12" s="109">
        <v>0.75</v>
      </c>
      <c r="AB12" s="110">
        <v>0.75</v>
      </c>
      <c r="AC12" s="108">
        <v>0.5</v>
      </c>
      <c r="AD12" s="109">
        <v>0.4</v>
      </c>
      <c r="AE12" s="110">
        <v>0.25</v>
      </c>
    </row>
    <row r="13" spans="2:33" ht="15" thickBot="1" x14ac:dyDescent="0.35">
      <c r="B13" s="92" t="s">
        <v>10</v>
      </c>
      <c r="C13" s="16" t="str">
        <f t="shared" si="0"/>
        <v>Transmission and Distribution</v>
      </c>
      <c r="D13" s="97" t="s">
        <v>8</v>
      </c>
      <c r="E13" s="173">
        <v>0</v>
      </c>
      <c r="F13" s="174">
        <v>0</v>
      </c>
      <c r="G13" s="174">
        <v>0</v>
      </c>
      <c r="H13" s="174">
        <v>0</v>
      </c>
      <c r="I13" s="174">
        <v>0</v>
      </c>
      <c r="J13" s="122">
        <v>0</v>
      </c>
      <c r="K13" s="173">
        <v>0</v>
      </c>
      <c r="L13" s="174">
        <v>0</v>
      </c>
      <c r="M13" s="174">
        <v>0</v>
      </c>
      <c r="N13" s="174">
        <v>0</v>
      </c>
      <c r="O13" s="174">
        <v>0</v>
      </c>
      <c r="P13" s="174">
        <v>0</v>
      </c>
      <c r="Q13" s="173">
        <v>0.5</v>
      </c>
      <c r="R13" s="174">
        <v>0.5</v>
      </c>
      <c r="S13" s="174">
        <v>0.5</v>
      </c>
      <c r="T13" s="174">
        <v>0.5</v>
      </c>
      <c r="U13" s="174">
        <v>0.5</v>
      </c>
      <c r="V13" s="174">
        <v>0.5</v>
      </c>
      <c r="W13" s="174">
        <v>0.5</v>
      </c>
      <c r="X13" s="174">
        <v>0.5</v>
      </c>
      <c r="Y13" s="174">
        <v>0.5</v>
      </c>
      <c r="Z13" s="174">
        <v>0.5</v>
      </c>
      <c r="AA13" s="174">
        <v>0.5</v>
      </c>
      <c r="AB13" s="175">
        <v>0.5</v>
      </c>
      <c r="AC13" s="173">
        <v>0.25</v>
      </c>
      <c r="AD13" s="174">
        <v>0.15</v>
      </c>
      <c r="AE13" s="175">
        <v>0</v>
      </c>
    </row>
    <row r="14" spans="2:33" x14ac:dyDescent="0.3">
      <c r="B14" s="91" t="s">
        <v>13</v>
      </c>
      <c r="C14" s="38" t="str">
        <f t="shared" si="0"/>
        <v>Transmission and Distribution</v>
      </c>
      <c r="D14" s="96" t="s">
        <v>12</v>
      </c>
      <c r="E14" s="113">
        <v>0.1</v>
      </c>
      <c r="F14" s="114">
        <v>0.1</v>
      </c>
      <c r="G14" s="114">
        <v>0.1</v>
      </c>
      <c r="H14" s="114">
        <v>0.1</v>
      </c>
      <c r="I14" s="114">
        <v>0.1</v>
      </c>
      <c r="J14" s="117">
        <v>0.1</v>
      </c>
      <c r="K14" s="114">
        <v>0.15</v>
      </c>
      <c r="L14" s="114">
        <v>0.15</v>
      </c>
      <c r="M14" s="114">
        <v>0.15</v>
      </c>
      <c r="N14" s="114">
        <v>0.15</v>
      </c>
      <c r="O14" s="114">
        <v>0.15</v>
      </c>
      <c r="P14" s="114">
        <v>0.15</v>
      </c>
      <c r="Q14" s="113">
        <v>0.1</v>
      </c>
      <c r="R14" s="114">
        <v>0.1</v>
      </c>
      <c r="S14" s="114">
        <v>0.1</v>
      </c>
      <c r="T14" s="114">
        <v>0.1</v>
      </c>
      <c r="U14" s="114">
        <v>0.1</v>
      </c>
      <c r="V14" s="114">
        <v>0.1</v>
      </c>
      <c r="W14" s="114">
        <v>0.1</v>
      </c>
      <c r="X14" s="114">
        <v>0.1</v>
      </c>
      <c r="Y14" s="114">
        <v>0.1</v>
      </c>
      <c r="Z14" s="114">
        <v>0.1</v>
      </c>
      <c r="AA14" s="114">
        <v>0.1</v>
      </c>
      <c r="AB14" s="115">
        <v>0.1</v>
      </c>
      <c r="AC14" s="113">
        <v>0.05</v>
      </c>
      <c r="AD14" s="114">
        <v>0.05</v>
      </c>
      <c r="AE14" s="115">
        <v>0.05</v>
      </c>
    </row>
    <row r="15" spans="2:33" x14ac:dyDescent="0.3">
      <c r="B15" s="91" t="s">
        <v>14</v>
      </c>
      <c r="C15" s="38" t="str">
        <f t="shared" si="0"/>
        <v>Transmission and Distribution</v>
      </c>
      <c r="D15" s="96" t="s">
        <v>12</v>
      </c>
      <c r="E15" s="113">
        <v>0.1</v>
      </c>
      <c r="F15" s="114">
        <v>0.1</v>
      </c>
      <c r="G15" s="114">
        <v>0.1</v>
      </c>
      <c r="H15" s="114">
        <v>0.1</v>
      </c>
      <c r="I15" s="114">
        <v>0.1</v>
      </c>
      <c r="J15" s="117">
        <v>0.1</v>
      </c>
      <c r="K15" s="114">
        <v>0.1</v>
      </c>
      <c r="L15" s="114">
        <v>0.1</v>
      </c>
      <c r="M15" s="114">
        <v>0.1</v>
      </c>
      <c r="N15" s="114">
        <v>0.1</v>
      </c>
      <c r="O15" s="114">
        <v>0.1</v>
      </c>
      <c r="P15" s="114">
        <v>0.1</v>
      </c>
      <c r="Q15" s="113">
        <v>0.1</v>
      </c>
      <c r="R15" s="114">
        <v>0.1</v>
      </c>
      <c r="S15" s="114">
        <v>0.1</v>
      </c>
      <c r="T15" s="114">
        <v>0.1</v>
      </c>
      <c r="U15" s="114">
        <v>0.1</v>
      </c>
      <c r="V15" s="114">
        <v>0.1</v>
      </c>
      <c r="W15" s="114">
        <v>0.1</v>
      </c>
      <c r="X15" s="114">
        <v>0.1</v>
      </c>
      <c r="Y15" s="114">
        <v>0.1</v>
      </c>
      <c r="Z15" s="114">
        <v>0.1</v>
      </c>
      <c r="AA15" s="114">
        <v>0.1</v>
      </c>
      <c r="AB15" s="115">
        <v>0.1</v>
      </c>
      <c r="AC15" s="113">
        <v>0.05</v>
      </c>
      <c r="AD15" s="114">
        <v>0.05</v>
      </c>
      <c r="AE15" s="115">
        <v>0.05</v>
      </c>
    </row>
    <row r="16" spans="2:33" x14ac:dyDescent="0.3">
      <c r="B16" s="91" t="s">
        <v>15</v>
      </c>
      <c r="C16" s="38" t="str">
        <f t="shared" si="0"/>
        <v>Transmission and Distribution</v>
      </c>
      <c r="D16" s="96" t="s">
        <v>12</v>
      </c>
      <c r="E16" s="113">
        <v>0.1</v>
      </c>
      <c r="F16" s="114">
        <v>0.1</v>
      </c>
      <c r="G16" s="114">
        <v>0.1</v>
      </c>
      <c r="H16" s="114">
        <v>0.1</v>
      </c>
      <c r="I16" s="114">
        <v>0.1</v>
      </c>
      <c r="J16" s="117">
        <v>0.1</v>
      </c>
      <c r="K16" s="114">
        <v>0.1</v>
      </c>
      <c r="L16" s="114">
        <v>0.1</v>
      </c>
      <c r="M16" s="114">
        <v>0.1</v>
      </c>
      <c r="N16" s="114">
        <v>0.1</v>
      </c>
      <c r="O16" s="114">
        <v>0.1</v>
      </c>
      <c r="P16" s="114">
        <v>0.1</v>
      </c>
      <c r="Q16" s="113">
        <v>0.2</v>
      </c>
      <c r="R16" s="114">
        <v>0.2</v>
      </c>
      <c r="S16" s="114">
        <v>0.2</v>
      </c>
      <c r="T16" s="114">
        <v>0.2</v>
      </c>
      <c r="U16" s="114">
        <v>0.2</v>
      </c>
      <c r="V16" s="114">
        <v>0.2</v>
      </c>
      <c r="W16" s="114">
        <v>0.2</v>
      </c>
      <c r="X16" s="114">
        <v>0.2</v>
      </c>
      <c r="Y16" s="114">
        <v>0.2</v>
      </c>
      <c r="Z16" s="114">
        <v>0.2</v>
      </c>
      <c r="AA16" s="114">
        <v>0.2</v>
      </c>
      <c r="AB16" s="115">
        <v>0.2</v>
      </c>
      <c r="AC16" s="113">
        <v>0.25</v>
      </c>
      <c r="AD16" s="114">
        <v>0.25</v>
      </c>
      <c r="AE16" s="115">
        <v>0.25</v>
      </c>
    </row>
    <row r="17" spans="2:31" x14ac:dyDescent="0.3">
      <c r="B17" s="91" t="s">
        <v>16</v>
      </c>
      <c r="C17" s="38" t="str">
        <f t="shared" si="0"/>
        <v>Transmission and Distribution</v>
      </c>
      <c r="D17" s="96" t="s">
        <v>12</v>
      </c>
      <c r="E17" s="113">
        <v>0.2</v>
      </c>
      <c r="F17" s="114">
        <v>0.2</v>
      </c>
      <c r="G17" s="114">
        <v>0.2</v>
      </c>
      <c r="H17" s="114">
        <v>0.2</v>
      </c>
      <c r="I17" s="114">
        <v>0.2</v>
      </c>
      <c r="J17" s="115">
        <v>0.2</v>
      </c>
      <c r="K17" s="114">
        <v>0.2</v>
      </c>
      <c r="L17" s="114">
        <v>0.2</v>
      </c>
      <c r="M17" s="114">
        <v>0.2</v>
      </c>
      <c r="N17" s="114">
        <v>0.2</v>
      </c>
      <c r="O17" s="114">
        <v>0.2</v>
      </c>
      <c r="P17" s="114">
        <v>0.2</v>
      </c>
      <c r="Q17" s="113">
        <v>0.2</v>
      </c>
      <c r="R17" s="114">
        <v>0.2</v>
      </c>
      <c r="S17" s="114">
        <v>0.2</v>
      </c>
      <c r="T17" s="114">
        <v>0.2</v>
      </c>
      <c r="U17" s="114">
        <v>0.2</v>
      </c>
      <c r="V17" s="114">
        <v>0.2</v>
      </c>
      <c r="W17" s="114">
        <v>0.2</v>
      </c>
      <c r="X17" s="114">
        <v>0.2</v>
      </c>
      <c r="Y17" s="114">
        <v>0.2</v>
      </c>
      <c r="Z17" s="114">
        <v>0.2</v>
      </c>
      <c r="AA17" s="114">
        <v>0.2</v>
      </c>
      <c r="AB17" s="115">
        <v>0.2</v>
      </c>
      <c r="AC17" s="113">
        <v>0.05</v>
      </c>
      <c r="AD17" s="114">
        <v>0.05</v>
      </c>
      <c r="AE17" s="115">
        <v>0.05</v>
      </c>
    </row>
    <row r="18" spans="2:31" ht="15" thickBot="1" x14ac:dyDescent="0.35">
      <c r="B18" s="92" t="s">
        <v>18</v>
      </c>
      <c r="C18" s="38" t="str">
        <f t="shared" si="0"/>
        <v>Transmission and Distribution</v>
      </c>
      <c r="D18" s="97" t="s">
        <v>12</v>
      </c>
      <c r="E18" s="118">
        <v>0.2</v>
      </c>
      <c r="F18" s="119">
        <v>0.2</v>
      </c>
      <c r="G18" s="119">
        <v>0.2</v>
      </c>
      <c r="H18" s="119">
        <v>0.2</v>
      </c>
      <c r="I18" s="119">
        <v>0.2</v>
      </c>
      <c r="J18" s="120">
        <v>0.2</v>
      </c>
      <c r="K18" s="114">
        <v>0.45</v>
      </c>
      <c r="L18" s="114">
        <v>0.45</v>
      </c>
      <c r="M18" s="114">
        <v>0.45</v>
      </c>
      <c r="N18" s="114">
        <v>0.45</v>
      </c>
      <c r="O18" s="114">
        <v>0.45</v>
      </c>
      <c r="P18" s="114">
        <v>0.45</v>
      </c>
      <c r="Q18" s="118">
        <v>0.45</v>
      </c>
      <c r="R18" s="119">
        <v>0.45</v>
      </c>
      <c r="S18" s="119">
        <v>0.45</v>
      </c>
      <c r="T18" s="119">
        <v>0.45</v>
      </c>
      <c r="U18" s="119">
        <v>0.45</v>
      </c>
      <c r="V18" s="119">
        <v>0.45</v>
      </c>
      <c r="W18" s="119">
        <v>0.45</v>
      </c>
      <c r="X18" s="119">
        <v>0.45</v>
      </c>
      <c r="Y18" s="119">
        <v>0.45</v>
      </c>
      <c r="Z18" s="119">
        <v>0.45</v>
      </c>
      <c r="AA18" s="119">
        <v>0.45</v>
      </c>
      <c r="AB18" s="120">
        <v>0.45</v>
      </c>
      <c r="AC18" s="113">
        <v>0.15</v>
      </c>
      <c r="AD18" s="114">
        <v>0.15</v>
      </c>
      <c r="AE18" s="115">
        <v>0.15</v>
      </c>
    </row>
    <row r="19" spans="2:31" x14ac:dyDescent="0.3">
      <c r="B19"/>
      <c r="C19"/>
      <c r="D19"/>
    </row>
    <row r="20" spans="2:31" x14ac:dyDescent="0.3">
      <c r="C20" s="6"/>
      <c r="D20" s="6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</row>
    <row r="21" spans="2:31" x14ac:dyDescent="0.3">
      <c r="D21" s="6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</row>
    <row r="22" spans="2:31" x14ac:dyDescent="0.3">
      <c r="D22" s="6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</row>
    <row r="23" spans="2:31" x14ac:dyDescent="0.3">
      <c r="D23" s="6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</row>
    <row r="24" spans="2:31" x14ac:dyDescent="0.3">
      <c r="D24" s="6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</row>
    <row r="25" spans="2:31" ht="15.75" customHeight="1" x14ac:dyDescent="0.3">
      <c r="D25" s="6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</row>
    <row r="26" spans="2:31" ht="15.75" customHeight="1" x14ac:dyDescent="0.3">
      <c r="D26" s="6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</row>
    <row r="27" spans="2:31" ht="15.75" customHeight="1" x14ac:dyDescent="0.3">
      <c r="D27" s="6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</row>
    <row r="28" spans="2:31" ht="15.75" customHeight="1" x14ac:dyDescent="0.3">
      <c r="D28" s="6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</row>
    <row r="29" spans="2:31" ht="15.75" customHeight="1" x14ac:dyDescent="0.3">
      <c r="D29" s="6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</row>
    <row r="30" spans="2:31" ht="15.75" customHeight="1" x14ac:dyDescent="0.3">
      <c r="D30" s="6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</row>
    <row r="31" spans="2:31" ht="15.75" customHeight="1" x14ac:dyDescent="0.3">
      <c r="D31" s="6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</row>
    <row r="32" spans="2:31" ht="15.75" customHeight="1" x14ac:dyDescent="0.3">
      <c r="D32" s="6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</row>
    <row r="33" spans="4:31" ht="15.75" customHeight="1" x14ac:dyDescent="0.3">
      <c r="D33" s="6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</row>
    <row r="34" spans="4:31" ht="15.75" customHeight="1" x14ac:dyDescent="0.3">
      <c r="D34" s="6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</row>
    <row r="35" spans="4:31" ht="15.75" customHeight="1" x14ac:dyDescent="0.3"/>
    <row r="36" spans="4:31" ht="15.75" customHeight="1" x14ac:dyDescent="0.3"/>
    <row r="37" spans="4:31" ht="15.75" customHeight="1" x14ac:dyDescent="0.3"/>
    <row r="38" spans="4:31" ht="15.75" customHeight="1" x14ac:dyDescent="0.3"/>
    <row r="39" spans="4:31" ht="15.75" customHeight="1" x14ac:dyDescent="0.3"/>
    <row r="40" spans="4:31" ht="15.75" customHeight="1" x14ac:dyDescent="0.3"/>
    <row r="41" spans="4:31" ht="15.75" customHeight="1" x14ac:dyDescent="0.3"/>
    <row r="42" spans="4:31" ht="15.75" customHeight="1" x14ac:dyDescent="0.3"/>
    <row r="43" spans="4:31" ht="15.75" customHeight="1" x14ac:dyDescent="0.3"/>
    <row r="44" spans="4:31" ht="15.75" customHeight="1" x14ac:dyDescent="0.3"/>
    <row r="45" spans="4:31" ht="15.75" customHeight="1" x14ac:dyDescent="0.3"/>
    <row r="46" spans="4:31" ht="15.75" customHeight="1" x14ac:dyDescent="0.3"/>
    <row r="47" spans="4:31" ht="15.75" customHeight="1" x14ac:dyDescent="0.3"/>
    <row r="48" spans="4:31" ht="15.75" customHeight="1" x14ac:dyDescent="0.3"/>
    <row r="49" ht="15.75" customHeight="1" x14ac:dyDescent="0.3"/>
    <row r="50" ht="15.75" customHeight="1" x14ac:dyDescent="0.3"/>
    <row r="51" ht="15" customHeight="1" x14ac:dyDescent="0.3"/>
  </sheetData>
  <mergeCells count="5">
    <mergeCell ref="K4:P4"/>
    <mergeCell ref="Q4:AB4"/>
    <mergeCell ref="E4:J4"/>
    <mergeCell ref="AC4:AE4"/>
    <mergeCell ref="C2:J2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31A1D2-0CCC-4DAF-808D-7686E2145AE3}">
          <x14:formula1>
            <xm:f>'Duration Table'!$C$7:$C$17</xm:f>
          </x14:formula1>
          <xm:sqref>C2:J2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C7D9-FD2E-41ED-9288-A0DE3DA10A54}">
  <sheetPr>
    <tabColor rgb="FF0070C0"/>
  </sheetPr>
  <dimension ref="B1:AE52"/>
  <sheetViews>
    <sheetView zoomScaleNormal="100" workbookViewId="0">
      <selection activeCell="R1" sqref="R1"/>
    </sheetView>
  </sheetViews>
  <sheetFormatPr defaultColWidth="9.109375" defaultRowHeight="14.4" x14ac:dyDescent="0.3"/>
  <cols>
    <col min="1" max="1" width="3.5546875" style="5" customWidth="1"/>
    <col min="2" max="2" width="39.44140625" style="5" customWidth="1"/>
    <col min="3" max="3" width="21.44140625" style="5" customWidth="1"/>
    <col min="4" max="4" width="23.109375" style="5" customWidth="1"/>
    <col min="5" max="10" width="5.44140625" style="5" bestFit="1" customWidth="1"/>
    <col min="11" max="28" width="6" style="5" bestFit="1" customWidth="1"/>
    <col min="29" max="31" width="5.44140625" style="5" customWidth="1"/>
    <col min="32" max="16384" width="9.109375" style="5"/>
  </cols>
  <sheetData>
    <row r="1" spans="2:31" ht="139.94999999999999" customHeight="1" thickBot="1" x14ac:dyDescent="0.35"/>
    <row r="2" spans="2:31" ht="24" thickBot="1" x14ac:dyDescent="0.5">
      <c r="B2" s="172" t="s">
        <v>148</v>
      </c>
      <c r="C2" s="177" t="s">
        <v>129</v>
      </c>
      <c r="D2" s="178"/>
      <c r="E2" s="178"/>
      <c r="F2" s="178"/>
      <c r="G2" s="178"/>
      <c r="H2" s="178"/>
      <c r="I2" s="178"/>
      <c r="J2" s="179"/>
    </row>
    <row r="3" spans="2:31" ht="15" thickBot="1" x14ac:dyDescent="0.35"/>
    <row r="4" spans="2:31" ht="16.2" thickBot="1" x14ac:dyDescent="0.35">
      <c r="B4" s="99" t="s">
        <v>73</v>
      </c>
      <c r="C4" s="94" t="s">
        <v>123</v>
      </c>
      <c r="D4" s="73" t="s">
        <v>64</v>
      </c>
      <c r="E4" s="206" t="s">
        <v>25</v>
      </c>
      <c r="F4" s="207"/>
      <c r="G4" s="207"/>
      <c r="H4" s="207"/>
      <c r="I4" s="207"/>
      <c r="J4" s="208"/>
      <c r="K4" s="209" t="s">
        <v>0</v>
      </c>
      <c r="L4" s="210"/>
      <c r="M4" s="210"/>
      <c r="N4" s="210"/>
      <c r="O4" s="210"/>
      <c r="P4" s="211"/>
      <c r="Q4" s="212" t="s">
        <v>1</v>
      </c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4"/>
      <c r="AC4" s="203" t="s">
        <v>26</v>
      </c>
      <c r="AD4" s="204"/>
      <c r="AE4" s="205"/>
    </row>
    <row r="5" spans="2:31" ht="15" hidden="1" thickBot="1" x14ac:dyDescent="0.35">
      <c r="B5" s="100" t="s">
        <v>114</v>
      </c>
      <c r="C5" s="93" t="s">
        <v>116</v>
      </c>
      <c r="D5" s="93" t="s">
        <v>117</v>
      </c>
      <c r="E5" s="3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4" t="s">
        <v>79</v>
      </c>
      <c r="K5" s="3" t="s">
        <v>80</v>
      </c>
      <c r="L5" s="38" t="s">
        <v>81</v>
      </c>
      <c r="M5" s="38" t="s">
        <v>82</v>
      </c>
      <c r="N5" s="38" t="s">
        <v>83</v>
      </c>
      <c r="O5" s="38" t="s">
        <v>84</v>
      </c>
      <c r="P5" s="4" t="s">
        <v>85</v>
      </c>
      <c r="Q5" s="3" t="s">
        <v>86</v>
      </c>
      <c r="R5" s="38" t="s">
        <v>87</v>
      </c>
      <c r="S5" s="38" t="s">
        <v>88</v>
      </c>
      <c r="T5" s="38" t="s">
        <v>89</v>
      </c>
      <c r="U5" s="38" t="s">
        <v>90</v>
      </c>
      <c r="V5" s="38" t="s">
        <v>91</v>
      </c>
      <c r="W5" s="38" t="s">
        <v>92</v>
      </c>
      <c r="X5" s="38" t="s">
        <v>93</v>
      </c>
      <c r="Y5" s="38" t="s">
        <v>94</v>
      </c>
      <c r="Z5" s="38" t="s">
        <v>95</v>
      </c>
      <c r="AA5" s="38" t="s">
        <v>96</v>
      </c>
      <c r="AB5" s="4" t="s">
        <v>97</v>
      </c>
      <c r="AC5" s="38" t="s">
        <v>98</v>
      </c>
      <c r="AD5" s="38" t="s">
        <v>99</v>
      </c>
      <c r="AE5" s="38" t="s">
        <v>100</v>
      </c>
    </row>
    <row r="6" spans="2:31" x14ac:dyDescent="0.3">
      <c r="B6" s="101" t="s">
        <v>3</v>
      </c>
      <c r="C6" s="98" t="str">
        <f>$C$2</f>
        <v>Substation</v>
      </c>
      <c r="D6" s="98" t="s">
        <v>2</v>
      </c>
      <c r="E6" s="108">
        <v>0.25</v>
      </c>
      <c r="F6" s="109">
        <v>0.25</v>
      </c>
      <c r="G6" s="109">
        <v>0.25</v>
      </c>
      <c r="H6" s="109">
        <v>0.45</v>
      </c>
      <c r="I6" s="109">
        <v>0.45</v>
      </c>
      <c r="J6" s="112">
        <v>0.45</v>
      </c>
      <c r="K6" s="123">
        <v>0.65</v>
      </c>
      <c r="L6" s="111">
        <v>0.65</v>
      </c>
      <c r="M6" s="111">
        <v>0.65</v>
      </c>
      <c r="N6" s="111">
        <v>0.85</v>
      </c>
      <c r="O6" s="111">
        <v>0.85</v>
      </c>
      <c r="P6" s="112">
        <v>0.85</v>
      </c>
      <c r="Q6" s="123">
        <v>0.85</v>
      </c>
      <c r="R6" s="111">
        <v>0.85</v>
      </c>
      <c r="S6" s="111">
        <v>0.85</v>
      </c>
      <c r="T6" s="111">
        <v>0.85</v>
      </c>
      <c r="U6" s="111">
        <v>0.85</v>
      </c>
      <c r="V6" s="111">
        <v>0.85</v>
      </c>
      <c r="W6" s="111">
        <v>0.85</v>
      </c>
      <c r="X6" s="111">
        <v>0.85</v>
      </c>
      <c r="Y6" s="111">
        <v>0.85</v>
      </c>
      <c r="Z6" s="111">
        <v>0.85</v>
      </c>
      <c r="AA6" s="111">
        <v>0.85</v>
      </c>
      <c r="AB6" s="112">
        <v>0.85</v>
      </c>
      <c r="AC6" s="109">
        <v>0.5</v>
      </c>
      <c r="AD6" s="109">
        <v>0.4</v>
      </c>
      <c r="AE6" s="110">
        <v>0.25</v>
      </c>
    </row>
    <row r="7" spans="2:31" x14ac:dyDescent="0.3">
      <c r="B7" s="102" t="s">
        <v>4</v>
      </c>
      <c r="C7" s="3" t="str">
        <f t="shared" ref="C7:C23" si="0">$C$2</f>
        <v>Substation</v>
      </c>
      <c r="D7" s="3" t="s">
        <v>2</v>
      </c>
      <c r="E7" s="113">
        <v>0.05</v>
      </c>
      <c r="F7" s="114">
        <v>0.05</v>
      </c>
      <c r="G7" s="114">
        <v>0.05</v>
      </c>
      <c r="H7" s="114">
        <v>0.05</v>
      </c>
      <c r="I7" s="114">
        <v>0.05</v>
      </c>
      <c r="J7" s="115">
        <v>0.05</v>
      </c>
      <c r="K7" s="113">
        <v>0.05</v>
      </c>
      <c r="L7" s="114">
        <v>0.05</v>
      </c>
      <c r="M7" s="114">
        <v>0.05</v>
      </c>
      <c r="N7" s="114">
        <v>0.05</v>
      </c>
      <c r="O7" s="114">
        <v>0.05</v>
      </c>
      <c r="P7" s="115">
        <v>0.05</v>
      </c>
      <c r="Q7" s="113">
        <v>0.05</v>
      </c>
      <c r="R7" s="114">
        <v>0.05</v>
      </c>
      <c r="S7" s="114">
        <v>0.05</v>
      </c>
      <c r="T7" s="114">
        <v>0.05</v>
      </c>
      <c r="U7" s="114">
        <v>0.05</v>
      </c>
      <c r="V7" s="114">
        <v>0.05</v>
      </c>
      <c r="W7" s="114">
        <v>0.05</v>
      </c>
      <c r="X7" s="114">
        <v>0.05</v>
      </c>
      <c r="Y7" s="114">
        <v>0.05</v>
      </c>
      <c r="Z7" s="114">
        <v>0.05</v>
      </c>
      <c r="AA7" s="114">
        <v>0.05</v>
      </c>
      <c r="AB7" s="115">
        <v>0.05</v>
      </c>
      <c r="AC7" s="114">
        <v>0.05</v>
      </c>
      <c r="AD7" s="114">
        <v>0.05</v>
      </c>
      <c r="AE7" s="115">
        <v>0.05</v>
      </c>
    </row>
    <row r="8" spans="2:31" ht="15" thickBot="1" x14ac:dyDescent="0.35">
      <c r="B8" s="102" t="s">
        <v>5</v>
      </c>
      <c r="C8" s="3" t="str">
        <f t="shared" si="0"/>
        <v>Substation</v>
      </c>
      <c r="D8" s="3" t="s">
        <v>2</v>
      </c>
      <c r="E8" s="118">
        <v>0.05</v>
      </c>
      <c r="F8" s="119">
        <v>0.05</v>
      </c>
      <c r="G8" s="119">
        <v>0.1</v>
      </c>
      <c r="H8" s="119">
        <v>0.1</v>
      </c>
      <c r="I8" s="119">
        <v>0.15</v>
      </c>
      <c r="J8" s="122">
        <v>0.15</v>
      </c>
      <c r="K8" s="125">
        <v>0.25</v>
      </c>
      <c r="L8" s="121">
        <v>0.25</v>
      </c>
      <c r="M8" s="121">
        <v>0.25</v>
      </c>
      <c r="N8" s="121">
        <v>0.25</v>
      </c>
      <c r="O8" s="121">
        <v>0.25</v>
      </c>
      <c r="P8" s="122">
        <v>0.25</v>
      </c>
      <c r="Q8" s="125">
        <v>0.25</v>
      </c>
      <c r="R8" s="121">
        <v>0.25</v>
      </c>
      <c r="S8" s="121">
        <v>0.25</v>
      </c>
      <c r="T8" s="121">
        <v>0.25</v>
      </c>
      <c r="U8" s="121">
        <v>0.25</v>
      </c>
      <c r="V8" s="121">
        <v>0.25</v>
      </c>
      <c r="W8" s="121">
        <v>0.25</v>
      </c>
      <c r="X8" s="121">
        <v>0.25</v>
      </c>
      <c r="Y8" s="121">
        <v>0.25</v>
      </c>
      <c r="Z8" s="121">
        <v>0.25</v>
      </c>
      <c r="AA8" s="121">
        <v>0.25</v>
      </c>
      <c r="AB8" s="122">
        <v>0.25</v>
      </c>
      <c r="AC8" s="121">
        <v>0.25</v>
      </c>
      <c r="AD8" s="121">
        <v>0.25</v>
      </c>
      <c r="AE8" s="122">
        <v>0.25</v>
      </c>
    </row>
    <row r="9" spans="2:31" x14ac:dyDescent="0.3">
      <c r="B9" s="103" t="s">
        <v>132</v>
      </c>
      <c r="C9" s="98" t="str">
        <f t="shared" si="0"/>
        <v>Substation</v>
      </c>
      <c r="D9" s="98" t="s">
        <v>6</v>
      </c>
      <c r="E9" s="113">
        <v>0.05</v>
      </c>
      <c r="F9" s="114">
        <v>0.05</v>
      </c>
      <c r="G9" s="114">
        <v>0.05</v>
      </c>
      <c r="H9" s="114">
        <v>0.05</v>
      </c>
      <c r="I9" s="114">
        <v>0.05</v>
      </c>
      <c r="J9" s="115">
        <v>0.05</v>
      </c>
      <c r="K9" s="124">
        <v>0.1</v>
      </c>
      <c r="L9" s="116">
        <v>0.1</v>
      </c>
      <c r="M9" s="116">
        <v>0.1</v>
      </c>
      <c r="N9" s="116">
        <v>0.1</v>
      </c>
      <c r="O9" s="116">
        <v>0.1</v>
      </c>
      <c r="P9" s="117">
        <v>0.1</v>
      </c>
      <c r="Q9" s="124">
        <v>0.1</v>
      </c>
      <c r="R9" s="116">
        <v>0.1</v>
      </c>
      <c r="S9" s="116">
        <v>0.1</v>
      </c>
      <c r="T9" s="116">
        <v>0.1</v>
      </c>
      <c r="U9" s="116">
        <v>0.1</v>
      </c>
      <c r="V9" s="116">
        <v>0.1</v>
      </c>
      <c r="W9" s="116">
        <v>0.1</v>
      </c>
      <c r="X9" s="116">
        <v>0.1</v>
      </c>
      <c r="Y9" s="116">
        <v>0.1</v>
      </c>
      <c r="Z9" s="116">
        <v>0.1</v>
      </c>
      <c r="AA9" s="116">
        <v>0.1</v>
      </c>
      <c r="AB9" s="117">
        <v>0.1</v>
      </c>
      <c r="AC9" s="114">
        <v>0.05</v>
      </c>
      <c r="AD9" s="114">
        <v>0.05</v>
      </c>
      <c r="AE9" s="114">
        <v>0</v>
      </c>
    </row>
    <row r="10" spans="2:31" x14ac:dyDescent="0.3">
      <c r="B10" s="104" t="s">
        <v>133</v>
      </c>
      <c r="C10" s="3" t="str">
        <f t="shared" si="0"/>
        <v>Substation</v>
      </c>
      <c r="D10" s="3" t="s">
        <v>6</v>
      </c>
      <c r="E10" s="113">
        <v>0.05</v>
      </c>
      <c r="F10" s="114">
        <v>0.05</v>
      </c>
      <c r="G10" s="114">
        <v>0.05</v>
      </c>
      <c r="H10" s="114">
        <v>0.05</v>
      </c>
      <c r="I10" s="114">
        <v>0.05</v>
      </c>
      <c r="J10" s="115">
        <v>0.05</v>
      </c>
      <c r="K10" s="124">
        <v>0.1</v>
      </c>
      <c r="L10" s="116">
        <v>0.1</v>
      </c>
      <c r="M10" s="116">
        <v>0.1</v>
      </c>
      <c r="N10" s="116">
        <v>0.1</v>
      </c>
      <c r="O10" s="116">
        <v>0.1</v>
      </c>
      <c r="P10" s="117">
        <v>0.1</v>
      </c>
      <c r="Q10" s="124">
        <v>0.1</v>
      </c>
      <c r="R10" s="116">
        <v>0.1</v>
      </c>
      <c r="S10" s="116">
        <v>0.1</v>
      </c>
      <c r="T10" s="116">
        <v>0.1</v>
      </c>
      <c r="U10" s="116">
        <v>0.1</v>
      </c>
      <c r="V10" s="116">
        <v>0.1</v>
      </c>
      <c r="W10" s="116">
        <v>0.1</v>
      </c>
      <c r="X10" s="116">
        <v>0.1</v>
      </c>
      <c r="Y10" s="116">
        <v>0.1</v>
      </c>
      <c r="Z10" s="116">
        <v>0.1</v>
      </c>
      <c r="AA10" s="116">
        <v>0.1</v>
      </c>
      <c r="AB10" s="117">
        <v>0.1</v>
      </c>
      <c r="AC10" s="114">
        <v>0.05</v>
      </c>
      <c r="AD10" s="114">
        <v>0.05</v>
      </c>
      <c r="AE10" s="114">
        <v>0</v>
      </c>
    </row>
    <row r="11" spans="2:31" x14ac:dyDescent="0.3">
      <c r="B11" s="104" t="s">
        <v>134</v>
      </c>
      <c r="C11" s="3" t="str">
        <f t="shared" si="0"/>
        <v>Substation</v>
      </c>
      <c r="D11" s="3" t="s">
        <v>6</v>
      </c>
      <c r="E11" s="113">
        <v>0.05</v>
      </c>
      <c r="F11" s="114">
        <v>0.05</v>
      </c>
      <c r="G11" s="114">
        <v>0.05</v>
      </c>
      <c r="H11" s="114">
        <v>0.05</v>
      </c>
      <c r="I11" s="114">
        <v>0.05</v>
      </c>
      <c r="J11" s="115">
        <v>0.05</v>
      </c>
      <c r="K11" s="124">
        <v>0.1</v>
      </c>
      <c r="L11" s="116">
        <v>0.1</v>
      </c>
      <c r="M11" s="116">
        <v>0.1</v>
      </c>
      <c r="N11" s="116">
        <v>0.1</v>
      </c>
      <c r="O11" s="116">
        <v>0.1</v>
      </c>
      <c r="P11" s="117">
        <v>0.1</v>
      </c>
      <c r="Q11" s="124">
        <v>0.1</v>
      </c>
      <c r="R11" s="116">
        <v>0.1</v>
      </c>
      <c r="S11" s="116">
        <v>0.1</v>
      </c>
      <c r="T11" s="116">
        <v>0.1</v>
      </c>
      <c r="U11" s="116">
        <v>0.1</v>
      </c>
      <c r="V11" s="116">
        <v>0.1</v>
      </c>
      <c r="W11" s="116">
        <v>0.1</v>
      </c>
      <c r="X11" s="116">
        <v>0.1</v>
      </c>
      <c r="Y11" s="116">
        <v>0.1</v>
      </c>
      <c r="Z11" s="116">
        <v>0.1</v>
      </c>
      <c r="AA11" s="116">
        <v>0.1</v>
      </c>
      <c r="AB11" s="117">
        <v>0.1</v>
      </c>
      <c r="AC11" s="114">
        <v>0.05</v>
      </c>
      <c r="AD11" s="114">
        <v>0.05</v>
      </c>
      <c r="AE11" s="114">
        <v>0</v>
      </c>
    </row>
    <row r="12" spans="2:31" x14ac:dyDescent="0.3">
      <c r="B12" s="104" t="s">
        <v>158</v>
      </c>
      <c r="C12" s="3" t="str">
        <f t="shared" si="0"/>
        <v>Substation</v>
      </c>
      <c r="D12" s="3" t="s">
        <v>6</v>
      </c>
      <c r="E12" s="113">
        <v>0.05</v>
      </c>
      <c r="F12" s="114">
        <v>0.05</v>
      </c>
      <c r="G12" s="114">
        <v>0.05</v>
      </c>
      <c r="H12" s="114">
        <v>0.05</v>
      </c>
      <c r="I12" s="114">
        <v>0.05</v>
      </c>
      <c r="J12" s="115">
        <v>0.05</v>
      </c>
      <c r="K12" s="124">
        <v>0.1</v>
      </c>
      <c r="L12" s="116">
        <v>0.1</v>
      </c>
      <c r="M12" s="116">
        <v>0.1</v>
      </c>
      <c r="N12" s="116">
        <v>0.1</v>
      </c>
      <c r="O12" s="116">
        <v>0.1</v>
      </c>
      <c r="P12" s="117">
        <v>0.1</v>
      </c>
      <c r="Q12" s="124">
        <v>0.1</v>
      </c>
      <c r="R12" s="116">
        <v>0.1</v>
      </c>
      <c r="S12" s="116">
        <v>0.1</v>
      </c>
      <c r="T12" s="116">
        <v>0.1</v>
      </c>
      <c r="U12" s="116">
        <v>0.1</v>
      </c>
      <c r="V12" s="116">
        <v>0.1</v>
      </c>
      <c r="W12" s="116">
        <v>0.1</v>
      </c>
      <c r="X12" s="116">
        <v>0.1</v>
      </c>
      <c r="Y12" s="116">
        <v>0.1</v>
      </c>
      <c r="Z12" s="116">
        <v>0.1</v>
      </c>
      <c r="AA12" s="116">
        <v>0.1</v>
      </c>
      <c r="AB12" s="117">
        <v>0.1</v>
      </c>
      <c r="AC12" s="114">
        <v>0.05</v>
      </c>
      <c r="AD12" s="114">
        <v>0.05</v>
      </c>
      <c r="AE12" s="114">
        <v>0</v>
      </c>
    </row>
    <row r="13" spans="2:31" x14ac:dyDescent="0.3">
      <c r="B13" s="104" t="s">
        <v>159</v>
      </c>
      <c r="C13" s="3" t="str">
        <f t="shared" si="0"/>
        <v>Substation</v>
      </c>
      <c r="D13" s="3" t="s">
        <v>6</v>
      </c>
      <c r="E13" s="113">
        <v>0.05</v>
      </c>
      <c r="F13" s="114">
        <v>0.05</v>
      </c>
      <c r="G13" s="114">
        <v>0.05</v>
      </c>
      <c r="H13" s="114">
        <v>0.05</v>
      </c>
      <c r="I13" s="114">
        <v>0.05</v>
      </c>
      <c r="J13" s="115">
        <v>0.05</v>
      </c>
      <c r="K13" s="124">
        <v>0.1</v>
      </c>
      <c r="L13" s="116">
        <v>0.1</v>
      </c>
      <c r="M13" s="116">
        <v>0.1</v>
      </c>
      <c r="N13" s="116">
        <v>0.1</v>
      </c>
      <c r="O13" s="116">
        <v>0.1</v>
      </c>
      <c r="P13" s="117">
        <v>0.1</v>
      </c>
      <c r="Q13" s="124">
        <v>0.1</v>
      </c>
      <c r="R13" s="116">
        <v>0.1</v>
      </c>
      <c r="S13" s="116">
        <v>0.1</v>
      </c>
      <c r="T13" s="116">
        <v>0.1</v>
      </c>
      <c r="U13" s="116">
        <v>0.1</v>
      </c>
      <c r="V13" s="116">
        <v>0.1</v>
      </c>
      <c r="W13" s="116">
        <v>0.1</v>
      </c>
      <c r="X13" s="116">
        <v>0.1</v>
      </c>
      <c r="Y13" s="116">
        <v>0.1</v>
      </c>
      <c r="Z13" s="116">
        <v>0.1</v>
      </c>
      <c r="AA13" s="116">
        <v>0.1</v>
      </c>
      <c r="AB13" s="117">
        <v>0.1</v>
      </c>
      <c r="AC13" s="114">
        <v>0.05</v>
      </c>
      <c r="AD13" s="114">
        <v>0.05</v>
      </c>
      <c r="AE13" s="114">
        <v>0</v>
      </c>
    </row>
    <row r="14" spans="2:31" x14ac:dyDescent="0.3">
      <c r="B14" s="104" t="s">
        <v>160</v>
      </c>
      <c r="C14" s="3" t="str">
        <f t="shared" si="0"/>
        <v>Substation</v>
      </c>
      <c r="D14" s="3" t="s">
        <v>6</v>
      </c>
      <c r="E14" s="113">
        <v>0.05</v>
      </c>
      <c r="F14" s="114">
        <v>0.05</v>
      </c>
      <c r="G14" s="114">
        <v>0.05</v>
      </c>
      <c r="H14" s="114">
        <v>0.05</v>
      </c>
      <c r="I14" s="114">
        <v>0.05</v>
      </c>
      <c r="J14" s="117">
        <v>0.05</v>
      </c>
      <c r="K14" s="124">
        <v>0.1</v>
      </c>
      <c r="L14" s="116">
        <v>0.1</v>
      </c>
      <c r="M14" s="116">
        <v>0.1</v>
      </c>
      <c r="N14" s="116">
        <v>0.1</v>
      </c>
      <c r="O14" s="116">
        <v>0.1</v>
      </c>
      <c r="P14" s="117">
        <v>0.1</v>
      </c>
      <c r="Q14" s="124">
        <v>0.1</v>
      </c>
      <c r="R14" s="116">
        <v>0.1</v>
      </c>
      <c r="S14" s="116">
        <v>0.1</v>
      </c>
      <c r="T14" s="116">
        <v>0.1</v>
      </c>
      <c r="U14" s="116">
        <v>0.1</v>
      </c>
      <c r="V14" s="116">
        <v>0.1</v>
      </c>
      <c r="W14" s="116">
        <v>0.1</v>
      </c>
      <c r="X14" s="116">
        <v>0.1</v>
      </c>
      <c r="Y14" s="116">
        <v>0.1</v>
      </c>
      <c r="Z14" s="116">
        <v>0.1</v>
      </c>
      <c r="AA14" s="116">
        <v>0.1</v>
      </c>
      <c r="AB14" s="117">
        <v>0.1</v>
      </c>
      <c r="AC14" s="114">
        <v>0.05</v>
      </c>
      <c r="AD14" s="114">
        <v>0.05</v>
      </c>
      <c r="AE14" s="114">
        <v>0</v>
      </c>
    </row>
    <row r="15" spans="2:31" ht="14.25" customHeight="1" x14ac:dyDescent="0.3">
      <c r="B15" s="104" t="s">
        <v>131</v>
      </c>
      <c r="C15" s="3" t="str">
        <f t="shared" si="0"/>
        <v>Substation</v>
      </c>
      <c r="D15" s="3" t="s">
        <v>6</v>
      </c>
      <c r="E15" s="113">
        <v>0.05</v>
      </c>
      <c r="F15" s="114">
        <v>0.05</v>
      </c>
      <c r="G15" s="114">
        <v>0.05</v>
      </c>
      <c r="H15" s="114">
        <v>0.05</v>
      </c>
      <c r="I15" s="114">
        <v>0.05</v>
      </c>
      <c r="J15" s="117">
        <v>0.05</v>
      </c>
      <c r="K15" s="124">
        <v>0.1</v>
      </c>
      <c r="L15" s="116">
        <v>0.1</v>
      </c>
      <c r="M15" s="116">
        <v>0.1</v>
      </c>
      <c r="N15" s="116">
        <v>0.1</v>
      </c>
      <c r="O15" s="116">
        <v>0.1</v>
      </c>
      <c r="P15" s="117">
        <v>0.1</v>
      </c>
      <c r="Q15" s="124">
        <v>0.1</v>
      </c>
      <c r="R15" s="116">
        <v>0.1</v>
      </c>
      <c r="S15" s="116">
        <v>0.1</v>
      </c>
      <c r="T15" s="116">
        <v>0.1</v>
      </c>
      <c r="U15" s="116">
        <v>0.1</v>
      </c>
      <c r="V15" s="116">
        <v>0.1</v>
      </c>
      <c r="W15" s="116">
        <v>0.1</v>
      </c>
      <c r="X15" s="116">
        <v>0.1</v>
      </c>
      <c r="Y15" s="116">
        <v>0.1</v>
      </c>
      <c r="Z15" s="116">
        <v>0.1</v>
      </c>
      <c r="AA15" s="116">
        <v>0.1</v>
      </c>
      <c r="AB15" s="117">
        <v>0.1</v>
      </c>
      <c r="AC15" s="114">
        <v>0.05</v>
      </c>
      <c r="AD15" s="114">
        <v>0.05</v>
      </c>
      <c r="AE15" s="114">
        <v>0</v>
      </c>
    </row>
    <row r="16" spans="2:31" ht="15" thickBot="1" x14ac:dyDescent="0.35">
      <c r="B16" s="105" t="s">
        <v>161</v>
      </c>
      <c r="C16" s="20" t="str">
        <f t="shared" si="0"/>
        <v>Substation</v>
      </c>
      <c r="D16" s="20" t="s">
        <v>6</v>
      </c>
      <c r="E16" s="113">
        <v>0.05</v>
      </c>
      <c r="F16" s="114">
        <v>0.05</v>
      </c>
      <c r="G16" s="114">
        <v>0.05</v>
      </c>
      <c r="H16" s="114">
        <v>0.05</v>
      </c>
      <c r="I16" s="114">
        <v>0.05</v>
      </c>
      <c r="J16" s="117">
        <v>0.05</v>
      </c>
      <c r="K16" s="124">
        <v>0.1</v>
      </c>
      <c r="L16" s="116">
        <v>0.1</v>
      </c>
      <c r="M16" s="116">
        <v>0.1</v>
      </c>
      <c r="N16" s="116">
        <v>0.1</v>
      </c>
      <c r="O16" s="116">
        <v>0.1</v>
      </c>
      <c r="P16" s="117">
        <v>0.1</v>
      </c>
      <c r="Q16" s="124">
        <v>0.1</v>
      </c>
      <c r="R16" s="116">
        <v>0.1</v>
      </c>
      <c r="S16" s="116">
        <v>0.1</v>
      </c>
      <c r="T16" s="116">
        <v>0.1</v>
      </c>
      <c r="U16" s="116">
        <v>0.1</v>
      </c>
      <c r="V16" s="116">
        <v>0.1</v>
      </c>
      <c r="W16" s="116">
        <v>0.1</v>
      </c>
      <c r="X16" s="116">
        <v>0.1</v>
      </c>
      <c r="Y16" s="116">
        <v>0.1</v>
      </c>
      <c r="Z16" s="116">
        <v>0.1</v>
      </c>
      <c r="AA16" s="116">
        <v>0.1</v>
      </c>
      <c r="AB16" s="117">
        <v>0.1</v>
      </c>
      <c r="AC16" s="114">
        <v>0.05</v>
      </c>
      <c r="AD16" s="114">
        <v>0.05</v>
      </c>
      <c r="AE16" s="114">
        <v>0</v>
      </c>
    </row>
    <row r="17" spans="2:31" x14ac:dyDescent="0.3">
      <c r="B17" s="102" t="s">
        <v>9</v>
      </c>
      <c r="C17" s="3" t="str">
        <f t="shared" si="0"/>
        <v>Substation</v>
      </c>
      <c r="D17" s="3" t="s">
        <v>8</v>
      </c>
      <c r="E17" s="108">
        <v>0</v>
      </c>
      <c r="F17" s="109">
        <v>0</v>
      </c>
      <c r="G17" s="109">
        <v>0</v>
      </c>
      <c r="H17" s="109">
        <v>0.25</v>
      </c>
      <c r="I17" s="109">
        <v>0.25</v>
      </c>
      <c r="J17" s="112">
        <v>0.25</v>
      </c>
      <c r="K17" s="108">
        <v>0.5</v>
      </c>
      <c r="L17" s="109">
        <v>0.5</v>
      </c>
      <c r="M17" s="109">
        <v>0.5</v>
      </c>
      <c r="N17" s="109">
        <v>0.75</v>
      </c>
      <c r="O17" s="109">
        <v>0.75</v>
      </c>
      <c r="P17" s="109">
        <v>0.75</v>
      </c>
      <c r="Q17" s="108">
        <v>0.75</v>
      </c>
      <c r="R17" s="109">
        <v>0.75</v>
      </c>
      <c r="S17" s="109">
        <v>0.75</v>
      </c>
      <c r="T17" s="109">
        <v>0.75</v>
      </c>
      <c r="U17" s="109">
        <v>0.75</v>
      </c>
      <c r="V17" s="109">
        <v>0.75</v>
      </c>
      <c r="W17" s="109">
        <v>0.75</v>
      </c>
      <c r="X17" s="109">
        <v>0.75</v>
      </c>
      <c r="Y17" s="109">
        <v>0.75</v>
      </c>
      <c r="Z17" s="109">
        <v>0.75</v>
      </c>
      <c r="AA17" s="109">
        <v>0.75</v>
      </c>
      <c r="AB17" s="110">
        <v>0.75</v>
      </c>
      <c r="AC17" s="108">
        <v>0.5</v>
      </c>
      <c r="AD17" s="109">
        <v>0.4</v>
      </c>
      <c r="AE17" s="110">
        <v>0.25</v>
      </c>
    </row>
    <row r="18" spans="2:31" ht="15" thickBot="1" x14ac:dyDescent="0.35">
      <c r="B18" s="106" t="s">
        <v>10</v>
      </c>
      <c r="C18" s="20" t="str">
        <f t="shared" si="0"/>
        <v>Substation</v>
      </c>
      <c r="D18" s="20" t="s">
        <v>8</v>
      </c>
      <c r="E18" s="173">
        <v>0</v>
      </c>
      <c r="F18" s="174">
        <v>0</v>
      </c>
      <c r="G18" s="174">
        <v>0</v>
      </c>
      <c r="H18" s="174">
        <v>0</v>
      </c>
      <c r="I18" s="174">
        <v>0</v>
      </c>
      <c r="J18" s="122">
        <v>0</v>
      </c>
      <c r="K18" s="173">
        <v>0</v>
      </c>
      <c r="L18" s="174">
        <v>0</v>
      </c>
      <c r="M18" s="174">
        <v>0</v>
      </c>
      <c r="N18" s="174">
        <v>0</v>
      </c>
      <c r="O18" s="174">
        <v>0</v>
      </c>
      <c r="P18" s="174">
        <v>0</v>
      </c>
      <c r="Q18" s="173">
        <v>0.5</v>
      </c>
      <c r="R18" s="174">
        <v>0.5</v>
      </c>
      <c r="S18" s="174">
        <v>0.5</v>
      </c>
      <c r="T18" s="174">
        <v>0.5</v>
      </c>
      <c r="U18" s="174">
        <v>0.5</v>
      </c>
      <c r="V18" s="174">
        <v>0.5</v>
      </c>
      <c r="W18" s="174">
        <v>0.5</v>
      </c>
      <c r="X18" s="174">
        <v>0.5</v>
      </c>
      <c r="Y18" s="174">
        <v>0.5</v>
      </c>
      <c r="Z18" s="174">
        <v>0.5</v>
      </c>
      <c r="AA18" s="174">
        <v>0.5</v>
      </c>
      <c r="AB18" s="175">
        <v>0.5</v>
      </c>
      <c r="AC18" s="173">
        <v>0.25</v>
      </c>
      <c r="AD18" s="174">
        <v>0.15</v>
      </c>
      <c r="AE18" s="175">
        <v>0</v>
      </c>
    </row>
    <row r="19" spans="2:31" x14ac:dyDescent="0.3">
      <c r="B19" s="102" t="s">
        <v>13</v>
      </c>
      <c r="C19" s="3" t="str">
        <f t="shared" si="0"/>
        <v>Substation</v>
      </c>
      <c r="D19" s="160" t="s">
        <v>12</v>
      </c>
      <c r="E19" s="113">
        <v>0.1</v>
      </c>
      <c r="F19" s="114">
        <v>0.1</v>
      </c>
      <c r="G19" s="114">
        <v>0.1</v>
      </c>
      <c r="H19" s="114">
        <v>0.1</v>
      </c>
      <c r="I19" s="114">
        <v>0.1</v>
      </c>
      <c r="J19" s="117">
        <v>0.1</v>
      </c>
      <c r="K19" s="124">
        <v>0.15</v>
      </c>
      <c r="L19" s="116">
        <v>0.15</v>
      </c>
      <c r="M19" s="116">
        <v>0.15</v>
      </c>
      <c r="N19" s="116">
        <v>0.15</v>
      </c>
      <c r="O19" s="116">
        <v>0.15</v>
      </c>
      <c r="P19" s="117">
        <v>0.15</v>
      </c>
      <c r="Q19" s="124">
        <v>0.1</v>
      </c>
      <c r="R19" s="116">
        <v>0.1</v>
      </c>
      <c r="S19" s="116">
        <v>0.1</v>
      </c>
      <c r="T19" s="116">
        <v>0.1</v>
      </c>
      <c r="U19" s="116">
        <v>0.1</v>
      </c>
      <c r="V19" s="116">
        <v>0.1</v>
      </c>
      <c r="W19" s="116">
        <v>0.1</v>
      </c>
      <c r="X19" s="116">
        <v>0.1</v>
      </c>
      <c r="Y19" s="116">
        <v>0.1</v>
      </c>
      <c r="Z19" s="116">
        <v>0.1</v>
      </c>
      <c r="AA19" s="116">
        <v>0.1</v>
      </c>
      <c r="AB19" s="117">
        <v>0.1</v>
      </c>
      <c r="AC19" s="116">
        <v>0.05</v>
      </c>
      <c r="AD19" s="116">
        <v>0.05</v>
      </c>
      <c r="AE19" s="116">
        <v>0.05</v>
      </c>
    </row>
    <row r="20" spans="2:31" x14ac:dyDescent="0.3">
      <c r="B20" s="102" t="s">
        <v>14</v>
      </c>
      <c r="C20" s="3" t="str">
        <f t="shared" si="0"/>
        <v>Substation</v>
      </c>
      <c r="D20" s="160" t="s">
        <v>12</v>
      </c>
      <c r="E20" s="113">
        <v>0.1</v>
      </c>
      <c r="F20" s="114">
        <v>0.1</v>
      </c>
      <c r="G20" s="114">
        <v>0.1</v>
      </c>
      <c r="H20" s="114">
        <v>0.1</v>
      </c>
      <c r="I20" s="114">
        <v>0.1</v>
      </c>
      <c r="J20" s="117">
        <v>0.1</v>
      </c>
      <c r="K20" s="124">
        <v>0.1</v>
      </c>
      <c r="L20" s="116">
        <v>0.1</v>
      </c>
      <c r="M20" s="116">
        <v>0.1</v>
      </c>
      <c r="N20" s="116">
        <v>0.1</v>
      </c>
      <c r="O20" s="116">
        <v>0.1</v>
      </c>
      <c r="P20" s="117">
        <v>0.1</v>
      </c>
      <c r="Q20" s="124">
        <v>0.1</v>
      </c>
      <c r="R20" s="116">
        <v>0.1</v>
      </c>
      <c r="S20" s="116">
        <v>0.1</v>
      </c>
      <c r="T20" s="116">
        <v>0.1</v>
      </c>
      <c r="U20" s="116">
        <v>0.1</v>
      </c>
      <c r="V20" s="116">
        <v>0.1</v>
      </c>
      <c r="W20" s="116">
        <v>0.1</v>
      </c>
      <c r="X20" s="116">
        <v>0.1</v>
      </c>
      <c r="Y20" s="116">
        <v>0.1</v>
      </c>
      <c r="Z20" s="116">
        <v>0.1</v>
      </c>
      <c r="AA20" s="116">
        <v>0.1</v>
      </c>
      <c r="AB20" s="117">
        <v>0.1</v>
      </c>
      <c r="AC20" s="114">
        <v>0.05</v>
      </c>
      <c r="AD20" s="114">
        <v>0.05</v>
      </c>
      <c r="AE20" s="114">
        <v>0.05</v>
      </c>
    </row>
    <row r="21" spans="2:31" ht="14.25" customHeight="1" x14ac:dyDescent="0.3">
      <c r="B21" s="102" t="s">
        <v>15</v>
      </c>
      <c r="C21" s="3" t="str">
        <f t="shared" si="0"/>
        <v>Substation</v>
      </c>
      <c r="D21" s="160" t="s">
        <v>12</v>
      </c>
      <c r="E21" s="113">
        <v>0.1</v>
      </c>
      <c r="F21" s="114">
        <v>0.1</v>
      </c>
      <c r="G21" s="114">
        <v>0.1</v>
      </c>
      <c r="H21" s="114">
        <v>0.1</v>
      </c>
      <c r="I21" s="114">
        <v>0.1</v>
      </c>
      <c r="J21" s="117">
        <v>0.1</v>
      </c>
      <c r="K21" s="124">
        <v>0.1</v>
      </c>
      <c r="L21" s="116">
        <v>0.1</v>
      </c>
      <c r="M21" s="116">
        <v>0.1</v>
      </c>
      <c r="N21" s="116">
        <v>0.1</v>
      </c>
      <c r="O21" s="116">
        <v>0.1</v>
      </c>
      <c r="P21" s="117">
        <v>0.1</v>
      </c>
      <c r="Q21" s="124">
        <v>0.2</v>
      </c>
      <c r="R21" s="116">
        <v>0.2</v>
      </c>
      <c r="S21" s="116">
        <v>0.2</v>
      </c>
      <c r="T21" s="116">
        <v>0.2</v>
      </c>
      <c r="U21" s="116">
        <v>0.2</v>
      </c>
      <c r="V21" s="116">
        <v>0.2</v>
      </c>
      <c r="W21" s="116">
        <v>0.2</v>
      </c>
      <c r="X21" s="116">
        <v>0.2</v>
      </c>
      <c r="Y21" s="116">
        <v>0.2</v>
      </c>
      <c r="Z21" s="116">
        <v>0.2</v>
      </c>
      <c r="AA21" s="116">
        <v>0.2</v>
      </c>
      <c r="AB21" s="117">
        <v>0.2</v>
      </c>
      <c r="AC21" s="116">
        <v>0.25</v>
      </c>
      <c r="AD21" s="116">
        <v>0.25</v>
      </c>
      <c r="AE21" s="116">
        <v>0.25</v>
      </c>
    </row>
    <row r="22" spans="2:31" x14ac:dyDescent="0.3">
      <c r="B22" s="102" t="s">
        <v>16</v>
      </c>
      <c r="C22" s="3" t="str">
        <f t="shared" si="0"/>
        <v>Substation</v>
      </c>
      <c r="D22" s="160" t="s">
        <v>12</v>
      </c>
      <c r="E22" s="113">
        <v>0.2</v>
      </c>
      <c r="F22" s="114">
        <v>0.2</v>
      </c>
      <c r="G22" s="114">
        <v>0.2</v>
      </c>
      <c r="H22" s="114">
        <v>0.2</v>
      </c>
      <c r="I22" s="114">
        <v>0.2</v>
      </c>
      <c r="J22" s="115">
        <v>0.2</v>
      </c>
      <c r="K22" s="113">
        <v>0.2</v>
      </c>
      <c r="L22" s="114">
        <v>0.2</v>
      </c>
      <c r="M22" s="114">
        <v>0.2</v>
      </c>
      <c r="N22" s="114">
        <v>0.2</v>
      </c>
      <c r="O22" s="114">
        <v>0.2</v>
      </c>
      <c r="P22" s="115">
        <v>0.2</v>
      </c>
      <c r="Q22" s="113">
        <v>0.2</v>
      </c>
      <c r="R22" s="114">
        <v>0.2</v>
      </c>
      <c r="S22" s="114">
        <v>0.2</v>
      </c>
      <c r="T22" s="114">
        <v>0.2</v>
      </c>
      <c r="U22" s="114">
        <v>0.2</v>
      </c>
      <c r="V22" s="114">
        <v>0.2</v>
      </c>
      <c r="W22" s="114">
        <v>0.2</v>
      </c>
      <c r="X22" s="114">
        <v>0.2</v>
      </c>
      <c r="Y22" s="114">
        <v>0.2</v>
      </c>
      <c r="Z22" s="114">
        <v>0.2</v>
      </c>
      <c r="AA22" s="114">
        <v>0.2</v>
      </c>
      <c r="AB22" s="115">
        <v>0.2</v>
      </c>
      <c r="AC22" s="114">
        <v>0.05</v>
      </c>
      <c r="AD22" s="114">
        <v>0.05</v>
      </c>
      <c r="AE22" s="114">
        <v>0.05</v>
      </c>
    </row>
    <row r="23" spans="2:31" ht="15" thickBot="1" x14ac:dyDescent="0.35">
      <c r="B23" s="102" t="s">
        <v>18</v>
      </c>
      <c r="C23" s="3" t="str">
        <f t="shared" si="0"/>
        <v>Substation</v>
      </c>
      <c r="D23" s="160" t="s">
        <v>12</v>
      </c>
      <c r="E23" s="118">
        <v>0.2</v>
      </c>
      <c r="F23" s="119">
        <v>0.2</v>
      </c>
      <c r="G23" s="119">
        <v>0.2</v>
      </c>
      <c r="H23" s="119">
        <v>0.2</v>
      </c>
      <c r="I23" s="119">
        <v>0.2</v>
      </c>
      <c r="J23" s="120">
        <v>0.2</v>
      </c>
      <c r="K23" s="118">
        <v>0.45</v>
      </c>
      <c r="L23" s="119">
        <v>0.45</v>
      </c>
      <c r="M23" s="119">
        <v>0.45</v>
      </c>
      <c r="N23" s="119">
        <v>0.45</v>
      </c>
      <c r="O23" s="119">
        <v>0.45</v>
      </c>
      <c r="P23" s="120">
        <v>0.45</v>
      </c>
      <c r="Q23" s="118">
        <v>0.45</v>
      </c>
      <c r="R23" s="119">
        <v>0.45</v>
      </c>
      <c r="S23" s="119">
        <v>0.45</v>
      </c>
      <c r="T23" s="119">
        <v>0.45</v>
      </c>
      <c r="U23" s="119">
        <v>0.45</v>
      </c>
      <c r="V23" s="119">
        <v>0.45</v>
      </c>
      <c r="W23" s="119">
        <v>0.45</v>
      </c>
      <c r="X23" s="119">
        <v>0.45</v>
      </c>
      <c r="Y23" s="119">
        <v>0.45</v>
      </c>
      <c r="Z23" s="119">
        <v>0.45</v>
      </c>
      <c r="AA23" s="119">
        <v>0.45</v>
      </c>
      <c r="AB23" s="120">
        <v>0.45</v>
      </c>
      <c r="AC23" s="114">
        <v>0.15</v>
      </c>
      <c r="AD23" s="114">
        <v>0.15</v>
      </c>
      <c r="AE23" s="114">
        <v>0.15</v>
      </c>
    </row>
    <row r="25" spans="2:31" x14ac:dyDescent="0.3">
      <c r="B25" s="18"/>
      <c r="C25" s="18"/>
      <c r="D25" s="18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</row>
    <row r="33" s="5" customFormat="1" x14ac:dyDescent="0.3"/>
    <row r="34" s="5" customFormat="1" x14ac:dyDescent="0.3"/>
    <row r="35" s="5" customFormat="1" x14ac:dyDescent="0.3"/>
    <row r="36" s="5" customFormat="1" x14ac:dyDescent="0.3"/>
    <row r="37" s="5" customFormat="1" x14ac:dyDescent="0.3"/>
    <row r="38" s="5" customFormat="1" x14ac:dyDescent="0.3"/>
    <row r="39" s="5" customFormat="1" x14ac:dyDescent="0.3"/>
    <row r="40" s="5" customFormat="1" x14ac:dyDescent="0.3"/>
    <row r="41" s="5" customFormat="1" x14ac:dyDescent="0.3"/>
    <row r="42" s="5" customFormat="1" x14ac:dyDescent="0.3"/>
    <row r="43" s="5" customFormat="1" x14ac:dyDescent="0.3"/>
    <row r="44" s="5" customFormat="1" x14ac:dyDescent="0.3"/>
    <row r="45" s="5" customFormat="1" x14ac:dyDescent="0.3"/>
    <row r="46" s="5" customFormat="1" x14ac:dyDescent="0.3"/>
    <row r="47" s="5" customFormat="1" x14ac:dyDescent="0.3"/>
    <row r="48" s="5" customFormat="1" x14ac:dyDescent="0.3"/>
    <row r="49" s="5" customFormat="1" x14ac:dyDescent="0.3"/>
    <row r="50" s="5" customFormat="1" x14ac:dyDescent="0.3"/>
    <row r="51" s="5" customFormat="1" x14ac:dyDescent="0.3"/>
    <row r="52" s="5" customFormat="1" x14ac:dyDescent="0.3"/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F0E47F-76FE-408C-BADA-C5C87BA2D286}">
          <x14:formula1>
            <xm:f>'Duration Table'!$C$7:$C$17</xm:f>
          </x14:formula1>
          <xm:sqref>C2:J2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C3D5-715D-4557-8CC8-6CCD680FCD65}">
  <sheetPr>
    <tabColor rgb="FF0070C0"/>
  </sheetPr>
  <dimension ref="B1:AE52"/>
  <sheetViews>
    <sheetView zoomScaleNormal="100" workbookViewId="0">
      <selection activeCell="Q1" sqref="Q1"/>
    </sheetView>
  </sheetViews>
  <sheetFormatPr defaultColWidth="9.109375" defaultRowHeight="14.4" x14ac:dyDescent="0.3"/>
  <cols>
    <col min="1" max="1" width="3.5546875" style="5" customWidth="1"/>
    <col min="2" max="2" width="39.44140625" style="5" customWidth="1"/>
    <col min="3" max="3" width="26.33203125" style="5" customWidth="1"/>
    <col min="4" max="4" width="23.109375" style="5" customWidth="1"/>
    <col min="5" max="10" width="5.44140625" style="5" bestFit="1" customWidth="1"/>
    <col min="11" max="28" width="6" style="5" bestFit="1" customWidth="1"/>
    <col min="29" max="31" width="5.44140625" style="5" customWidth="1"/>
    <col min="32" max="16384" width="9.109375" style="5"/>
  </cols>
  <sheetData>
    <row r="1" spans="2:31" ht="139.94999999999999" customHeight="1" thickBot="1" x14ac:dyDescent="0.35"/>
    <row r="2" spans="2:31" ht="24" thickBot="1" x14ac:dyDescent="0.5">
      <c r="B2" s="172" t="s">
        <v>148</v>
      </c>
      <c r="C2" s="177" t="s">
        <v>31</v>
      </c>
      <c r="D2" s="178"/>
      <c r="E2" s="178"/>
      <c r="F2" s="178"/>
      <c r="G2" s="178"/>
      <c r="H2" s="178"/>
      <c r="I2" s="178"/>
      <c r="J2" s="179"/>
    </row>
    <row r="3" spans="2:31" ht="15" thickBot="1" x14ac:dyDescent="0.35"/>
    <row r="4" spans="2:31" ht="16.2" thickBot="1" x14ac:dyDescent="0.35">
      <c r="B4" s="99" t="s">
        <v>73</v>
      </c>
      <c r="C4" s="73" t="s">
        <v>123</v>
      </c>
      <c r="D4" s="73" t="s">
        <v>64</v>
      </c>
      <c r="E4" s="180" t="s">
        <v>25</v>
      </c>
      <c r="F4" s="181"/>
      <c r="G4" s="181"/>
      <c r="H4" s="181"/>
      <c r="I4" s="181"/>
      <c r="J4" s="182"/>
      <c r="K4" s="183" t="s">
        <v>0</v>
      </c>
      <c r="L4" s="184"/>
      <c r="M4" s="184"/>
      <c r="N4" s="184"/>
      <c r="O4" s="184"/>
      <c r="P4" s="185"/>
      <c r="Q4" s="186" t="s">
        <v>1</v>
      </c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8"/>
      <c r="AC4" s="189" t="s">
        <v>26</v>
      </c>
      <c r="AD4" s="190"/>
      <c r="AE4" s="191"/>
    </row>
    <row r="5" spans="2:31" ht="15" hidden="1" thickBot="1" x14ac:dyDescent="0.35">
      <c r="B5" s="6" t="s">
        <v>114</v>
      </c>
      <c r="C5" s="43" t="s">
        <v>116</v>
      </c>
      <c r="D5" s="43" t="s">
        <v>117</v>
      </c>
      <c r="E5" s="3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4" t="s">
        <v>79</v>
      </c>
      <c r="K5" s="3" t="s">
        <v>80</v>
      </c>
      <c r="L5" s="38" t="s">
        <v>81</v>
      </c>
      <c r="M5" s="38" t="s">
        <v>82</v>
      </c>
      <c r="N5" s="38" t="s">
        <v>83</v>
      </c>
      <c r="O5" s="38" t="s">
        <v>84</v>
      </c>
      <c r="P5" s="4" t="s">
        <v>85</v>
      </c>
      <c r="Q5" s="3" t="s">
        <v>86</v>
      </c>
      <c r="R5" s="38" t="s">
        <v>87</v>
      </c>
      <c r="S5" s="38" t="s">
        <v>88</v>
      </c>
      <c r="T5" s="38" t="s">
        <v>89</v>
      </c>
      <c r="U5" s="38" t="s">
        <v>90</v>
      </c>
      <c r="V5" s="38" t="s">
        <v>91</v>
      </c>
      <c r="W5" s="38" t="s">
        <v>92</v>
      </c>
      <c r="X5" s="38" t="s">
        <v>93</v>
      </c>
      <c r="Y5" s="38" t="s">
        <v>94</v>
      </c>
      <c r="Z5" s="38" t="s">
        <v>95</v>
      </c>
      <c r="AA5" s="38" t="s">
        <v>96</v>
      </c>
      <c r="AB5" s="4" t="s">
        <v>97</v>
      </c>
      <c r="AC5" s="38" t="s">
        <v>98</v>
      </c>
      <c r="AD5" s="38" t="s">
        <v>99</v>
      </c>
      <c r="AE5" s="38" t="s">
        <v>100</v>
      </c>
    </row>
    <row r="6" spans="2:31" x14ac:dyDescent="0.3">
      <c r="B6" s="101" t="s">
        <v>3</v>
      </c>
      <c r="C6" s="98" t="str">
        <f>$C$2</f>
        <v>Thermal</v>
      </c>
      <c r="D6" s="98" t="s">
        <v>2</v>
      </c>
      <c r="E6" s="108">
        <v>0.25</v>
      </c>
      <c r="F6" s="109">
        <v>0.25</v>
      </c>
      <c r="G6" s="109">
        <v>0.25</v>
      </c>
      <c r="H6" s="109">
        <v>0.45</v>
      </c>
      <c r="I6" s="109">
        <v>0.45</v>
      </c>
      <c r="J6" s="112">
        <v>0.45</v>
      </c>
      <c r="K6" s="123">
        <v>0.65</v>
      </c>
      <c r="L6" s="111">
        <v>0.65</v>
      </c>
      <c r="M6" s="111">
        <v>0.65</v>
      </c>
      <c r="N6" s="111">
        <v>0.85</v>
      </c>
      <c r="O6" s="111">
        <v>0.85</v>
      </c>
      <c r="P6" s="112">
        <v>0.85</v>
      </c>
      <c r="Q6" s="123">
        <v>0.85</v>
      </c>
      <c r="R6" s="111">
        <v>0.85</v>
      </c>
      <c r="S6" s="111">
        <v>0.85</v>
      </c>
      <c r="T6" s="111">
        <v>0.85</v>
      </c>
      <c r="U6" s="111">
        <v>0.85</v>
      </c>
      <c r="V6" s="111">
        <v>0.85</v>
      </c>
      <c r="W6" s="111">
        <v>0.85</v>
      </c>
      <c r="X6" s="111">
        <v>0.85</v>
      </c>
      <c r="Y6" s="111">
        <v>0.85</v>
      </c>
      <c r="Z6" s="111">
        <v>0.85</v>
      </c>
      <c r="AA6" s="111">
        <v>0.85</v>
      </c>
      <c r="AB6" s="112">
        <v>0.85</v>
      </c>
      <c r="AC6" s="109">
        <v>0.5</v>
      </c>
      <c r="AD6" s="109">
        <v>0.4</v>
      </c>
      <c r="AE6" s="110">
        <v>0.25</v>
      </c>
    </row>
    <row r="7" spans="2:31" x14ac:dyDescent="0.3">
      <c r="B7" s="102" t="s">
        <v>4</v>
      </c>
      <c r="C7" s="3" t="str">
        <f t="shared" ref="C7:C20" si="0">$C$2</f>
        <v>Thermal</v>
      </c>
      <c r="D7" s="3" t="s">
        <v>2</v>
      </c>
      <c r="E7" s="113">
        <v>0.05</v>
      </c>
      <c r="F7" s="114">
        <v>0.05</v>
      </c>
      <c r="G7" s="114">
        <v>0.05</v>
      </c>
      <c r="H7" s="114">
        <v>0.05</v>
      </c>
      <c r="I7" s="114">
        <v>0.05</v>
      </c>
      <c r="J7" s="115">
        <v>0.05</v>
      </c>
      <c r="K7" s="113">
        <v>0.05</v>
      </c>
      <c r="L7" s="114">
        <v>0.05</v>
      </c>
      <c r="M7" s="114">
        <v>0.05</v>
      </c>
      <c r="N7" s="114">
        <v>0.05</v>
      </c>
      <c r="O7" s="114">
        <v>0.05</v>
      </c>
      <c r="P7" s="115">
        <v>0.05</v>
      </c>
      <c r="Q7" s="113">
        <v>0.05</v>
      </c>
      <c r="R7" s="114">
        <v>0.05</v>
      </c>
      <c r="S7" s="114">
        <v>0.05</v>
      </c>
      <c r="T7" s="114">
        <v>0.05</v>
      </c>
      <c r="U7" s="114">
        <v>0.05</v>
      </c>
      <c r="V7" s="114">
        <v>0.05</v>
      </c>
      <c r="W7" s="114">
        <v>0.05</v>
      </c>
      <c r="X7" s="114">
        <v>0.05</v>
      </c>
      <c r="Y7" s="114">
        <v>0.05</v>
      </c>
      <c r="Z7" s="114">
        <v>0.05</v>
      </c>
      <c r="AA7" s="114">
        <v>0.05</v>
      </c>
      <c r="AB7" s="115">
        <v>0.05</v>
      </c>
      <c r="AC7" s="114">
        <v>0.05</v>
      </c>
      <c r="AD7" s="114">
        <v>0.05</v>
      </c>
      <c r="AE7" s="115">
        <v>0.05</v>
      </c>
    </row>
    <row r="8" spans="2:31" ht="15" thickBot="1" x14ac:dyDescent="0.35">
      <c r="B8" s="106" t="s">
        <v>5</v>
      </c>
      <c r="C8" s="20" t="str">
        <f t="shared" si="0"/>
        <v>Thermal</v>
      </c>
      <c r="D8" s="20" t="s">
        <v>2</v>
      </c>
      <c r="E8" s="118">
        <v>0.05</v>
      </c>
      <c r="F8" s="119">
        <v>0.05</v>
      </c>
      <c r="G8" s="119">
        <v>0.1</v>
      </c>
      <c r="H8" s="119">
        <v>0.1</v>
      </c>
      <c r="I8" s="119">
        <v>0.15</v>
      </c>
      <c r="J8" s="122">
        <v>0.15</v>
      </c>
      <c r="K8" s="125">
        <v>0.25</v>
      </c>
      <c r="L8" s="121">
        <v>0.25</v>
      </c>
      <c r="M8" s="121">
        <v>0.25</v>
      </c>
      <c r="N8" s="121">
        <v>0.25</v>
      </c>
      <c r="O8" s="121">
        <v>0.25</v>
      </c>
      <c r="P8" s="122">
        <v>0.25</v>
      </c>
      <c r="Q8" s="125">
        <v>0.25</v>
      </c>
      <c r="R8" s="121">
        <v>0.25</v>
      </c>
      <c r="S8" s="121">
        <v>0.25</v>
      </c>
      <c r="T8" s="121">
        <v>0.25</v>
      </c>
      <c r="U8" s="121">
        <v>0.25</v>
      </c>
      <c r="V8" s="121">
        <v>0.25</v>
      </c>
      <c r="W8" s="121">
        <v>0.25</v>
      </c>
      <c r="X8" s="121">
        <v>0.25</v>
      </c>
      <c r="Y8" s="121">
        <v>0.25</v>
      </c>
      <c r="Z8" s="121">
        <v>0.25</v>
      </c>
      <c r="AA8" s="121">
        <v>0.25</v>
      </c>
      <c r="AB8" s="122">
        <v>0.25</v>
      </c>
      <c r="AC8" s="121">
        <v>0.25</v>
      </c>
      <c r="AD8" s="121">
        <v>0.25</v>
      </c>
      <c r="AE8" s="122">
        <v>0.25</v>
      </c>
    </row>
    <row r="9" spans="2:31" x14ac:dyDescent="0.3">
      <c r="B9" s="101" t="s">
        <v>132</v>
      </c>
      <c r="C9" s="98" t="str">
        <f t="shared" si="0"/>
        <v>Thermal</v>
      </c>
      <c r="D9" s="98" t="s">
        <v>6</v>
      </c>
      <c r="E9" s="113">
        <v>0.05</v>
      </c>
      <c r="F9" s="114">
        <v>0.05</v>
      </c>
      <c r="G9" s="114">
        <v>0.05</v>
      </c>
      <c r="H9" s="114">
        <v>0.05</v>
      </c>
      <c r="I9" s="114">
        <v>0.05</v>
      </c>
      <c r="J9" s="115">
        <v>0.05</v>
      </c>
      <c r="K9" s="124">
        <v>0.1</v>
      </c>
      <c r="L9" s="116">
        <v>0.1</v>
      </c>
      <c r="M9" s="116">
        <v>0.1</v>
      </c>
      <c r="N9" s="116">
        <v>0.1</v>
      </c>
      <c r="O9" s="116">
        <v>0.1</v>
      </c>
      <c r="P9" s="117">
        <v>0.1</v>
      </c>
      <c r="Q9" s="124">
        <v>0.1</v>
      </c>
      <c r="R9" s="116">
        <v>0.1</v>
      </c>
      <c r="S9" s="116">
        <v>0.1</v>
      </c>
      <c r="T9" s="116">
        <v>0.1</v>
      </c>
      <c r="U9" s="116">
        <v>0.1</v>
      </c>
      <c r="V9" s="116">
        <v>0.1</v>
      </c>
      <c r="W9" s="116">
        <v>0.1</v>
      </c>
      <c r="X9" s="116">
        <v>0.1</v>
      </c>
      <c r="Y9" s="116">
        <v>0.1</v>
      </c>
      <c r="Z9" s="116">
        <v>0.1</v>
      </c>
      <c r="AA9" s="116">
        <v>0.1</v>
      </c>
      <c r="AB9" s="117">
        <v>0.1</v>
      </c>
      <c r="AC9" s="114">
        <v>0.05</v>
      </c>
      <c r="AD9" s="114">
        <v>0.05</v>
      </c>
      <c r="AE9" s="114">
        <v>0</v>
      </c>
    </row>
    <row r="10" spans="2:31" x14ac:dyDescent="0.3">
      <c r="B10" s="102" t="s">
        <v>163</v>
      </c>
      <c r="C10" s="3" t="str">
        <f t="shared" si="0"/>
        <v>Thermal</v>
      </c>
      <c r="D10" s="3" t="s">
        <v>6</v>
      </c>
      <c r="E10" s="113">
        <v>0.05</v>
      </c>
      <c r="F10" s="114">
        <v>0.05</v>
      </c>
      <c r="G10" s="114">
        <v>0.05</v>
      </c>
      <c r="H10" s="114">
        <v>0.05</v>
      </c>
      <c r="I10" s="114">
        <v>0.05</v>
      </c>
      <c r="J10" s="115">
        <v>0.05</v>
      </c>
      <c r="K10" s="124">
        <v>0.1</v>
      </c>
      <c r="L10" s="116">
        <v>0.1</v>
      </c>
      <c r="M10" s="116">
        <v>0.1</v>
      </c>
      <c r="N10" s="116">
        <v>0.1</v>
      </c>
      <c r="O10" s="116">
        <v>0.1</v>
      </c>
      <c r="P10" s="117">
        <v>0.1</v>
      </c>
      <c r="Q10" s="124">
        <v>0.1</v>
      </c>
      <c r="R10" s="116">
        <v>0.1</v>
      </c>
      <c r="S10" s="116">
        <v>0.1</v>
      </c>
      <c r="T10" s="116">
        <v>0.1</v>
      </c>
      <c r="U10" s="116">
        <v>0.1</v>
      </c>
      <c r="V10" s="116">
        <v>0.1</v>
      </c>
      <c r="W10" s="116">
        <v>0.1</v>
      </c>
      <c r="X10" s="116">
        <v>0.1</v>
      </c>
      <c r="Y10" s="116">
        <v>0.1</v>
      </c>
      <c r="Z10" s="116">
        <v>0.1</v>
      </c>
      <c r="AA10" s="116">
        <v>0.1</v>
      </c>
      <c r="AB10" s="117">
        <v>0.1</v>
      </c>
      <c r="AC10" s="114">
        <v>0.05</v>
      </c>
      <c r="AD10" s="114">
        <v>0.05</v>
      </c>
      <c r="AE10" s="114">
        <v>0</v>
      </c>
    </row>
    <row r="11" spans="2:31" x14ac:dyDescent="0.3">
      <c r="B11" s="102" t="s">
        <v>164</v>
      </c>
      <c r="C11" s="3" t="str">
        <f t="shared" si="0"/>
        <v>Thermal</v>
      </c>
      <c r="D11" s="3" t="s">
        <v>6</v>
      </c>
      <c r="E11" s="113">
        <v>0.05</v>
      </c>
      <c r="F11" s="114">
        <v>0.05</v>
      </c>
      <c r="G11" s="114">
        <v>0.05</v>
      </c>
      <c r="H11" s="114">
        <v>0.05</v>
      </c>
      <c r="I11" s="114">
        <v>0.05</v>
      </c>
      <c r="J11" s="115">
        <v>0.05</v>
      </c>
      <c r="K11" s="124">
        <v>0.1</v>
      </c>
      <c r="L11" s="116">
        <v>0.1</v>
      </c>
      <c r="M11" s="116">
        <v>0.1</v>
      </c>
      <c r="N11" s="116">
        <v>0.1</v>
      </c>
      <c r="O11" s="116">
        <v>0.1</v>
      </c>
      <c r="P11" s="117">
        <v>0.1</v>
      </c>
      <c r="Q11" s="124">
        <v>0.1</v>
      </c>
      <c r="R11" s="116">
        <v>0.1</v>
      </c>
      <c r="S11" s="116">
        <v>0.1</v>
      </c>
      <c r="T11" s="116">
        <v>0.1</v>
      </c>
      <c r="U11" s="116">
        <v>0.1</v>
      </c>
      <c r="V11" s="116">
        <v>0.1</v>
      </c>
      <c r="W11" s="116">
        <v>0.1</v>
      </c>
      <c r="X11" s="116">
        <v>0.1</v>
      </c>
      <c r="Y11" s="116">
        <v>0.1</v>
      </c>
      <c r="Z11" s="116">
        <v>0.1</v>
      </c>
      <c r="AA11" s="116">
        <v>0.1</v>
      </c>
      <c r="AB11" s="117">
        <v>0.1</v>
      </c>
      <c r="AC11" s="114">
        <v>0.05</v>
      </c>
      <c r="AD11" s="114">
        <v>0.05</v>
      </c>
      <c r="AE11" s="114">
        <v>0</v>
      </c>
    </row>
    <row r="12" spans="2:31" ht="14.25" customHeight="1" x14ac:dyDescent="0.3">
      <c r="B12" s="102" t="s">
        <v>120</v>
      </c>
      <c r="C12" s="3" t="str">
        <f t="shared" si="0"/>
        <v>Thermal</v>
      </c>
      <c r="D12" s="3" t="s">
        <v>6</v>
      </c>
      <c r="E12" s="113">
        <v>0.05</v>
      </c>
      <c r="F12" s="114">
        <v>0.05</v>
      </c>
      <c r="G12" s="114">
        <v>0.05</v>
      </c>
      <c r="H12" s="114">
        <v>0.05</v>
      </c>
      <c r="I12" s="114">
        <v>0.05</v>
      </c>
      <c r="J12" s="115">
        <v>0.05</v>
      </c>
      <c r="K12" s="124">
        <v>0.1</v>
      </c>
      <c r="L12" s="116">
        <v>0.1</v>
      </c>
      <c r="M12" s="116">
        <v>0.1</v>
      </c>
      <c r="N12" s="116">
        <v>0.1</v>
      </c>
      <c r="O12" s="116">
        <v>0.1</v>
      </c>
      <c r="P12" s="117">
        <v>0.1</v>
      </c>
      <c r="Q12" s="124">
        <v>0.1</v>
      </c>
      <c r="R12" s="116">
        <v>0.1</v>
      </c>
      <c r="S12" s="116">
        <v>0.1</v>
      </c>
      <c r="T12" s="116">
        <v>0.1</v>
      </c>
      <c r="U12" s="116">
        <v>0.1</v>
      </c>
      <c r="V12" s="116">
        <v>0.1</v>
      </c>
      <c r="W12" s="116">
        <v>0.1</v>
      </c>
      <c r="X12" s="116">
        <v>0.1</v>
      </c>
      <c r="Y12" s="116">
        <v>0.1</v>
      </c>
      <c r="Z12" s="116">
        <v>0.1</v>
      </c>
      <c r="AA12" s="116">
        <v>0.1</v>
      </c>
      <c r="AB12" s="117">
        <v>0.1</v>
      </c>
      <c r="AC12" s="114">
        <v>0.05</v>
      </c>
      <c r="AD12" s="114">
        <v>0.05</v>
      </c>
      <c r="AE12" s="114">
        <v>0</v>
      </c>
    </row>
    <row r="13" spans="2:31" ht="15" thickBot="1" x14ac:dyDescent="0.35">
      <c r="B13" s="106" t="s">
        <v>162</v>
      </c>
      <c r="C13" s="20" t="str">
        <f t="shared" si="0"/>
        <v>Thermal</v>
      </c>
      <c r="D13" s="20" t="s">
        <v>6</v>
      </c>
      <c r="E13" s="113">
        <v>0.05</v>
      </c>
      <c r="F13" s="114">
        <v>0.05</v>
      </c>
      <c r="G13" s="114">
        <v>0.05</v>
      </c>
      <c r="H13" s="114">
        <v>0.05</v>
      </c>
      <c r="I13" s="114">
        <v>0.05</v>
      </c>
      <c r="J13" s="115">
        <v>0.05</v>
      </c>
      <c r="K13" s="124">
        <v>0.1</v>
      </c>
      <c r="L13" s="116">
        <v>0.1</v>
      </c>
      <c r="M13" s="116">
        <v>0.1</v>
      </c>
      <c r="N13" s="116">
        <v>0.1</v>
      </c>
      <c r="O13" s="116">
        <v>0.1</v>
      </c>
      <c r="P13" s="117">
        <v>0.1</v>
      </c>
      <c r="Q13" s="124">
        <v>0.1</v>
      </c>
      <c r="R13" s="116">
        <v>0.1</v>
      </c>
      <c r="S13" s="116">
        <v>0.1</v>
      </c>
      <c r="T13" s="116">
        <v>0.1</v>
      </c>
      <c r="U13" s="116">
        <v>0.1</v>
      </c>
      <c r="V13" s="116">
        <v>0.1</v>
      </c>
      <c r="W13" s="116">
        <v>0.1</v>
      </c>
      <c r="X13" s="116">
        <v>0.1</v>
      </c>
      <c r="Y13" s="116">
        <v>0.1</v>
      </c>
      <c r="Z13" s="116">
        <v>0.1</v>
      </c>
      <c r="AA13" s="116">
        <v>0.1</v>
      </c>
      <c r="AB13" s="117">
        <v>0.1</v>
      </c>
      <c r="AC13" s="114">
        <v>0.05</v>
      </c>
      <c r="AD13" s="114">
        <v>0.05</v>
      </c>
      <c r="AE13" s="114">
        <v>0</v>
      </c>
    </row>
    <row r="14" spans="2:31" x14ac:dyDescent="0.3">
      <c r="B14" s="101" t="s">
        <v>9</v>
      </c>
      <c r="C14" s="98" t="str">
        <f t="shared" si="0"/>
        <v>Thermal</v>
      </c>
      <c r="D14" s="98" t="s">
        <v>8</v>
      </c>
      <c r="E14" s="108">
        <v>0</v>
      </c>
      <c r="F14" s="109">
        <v>0</v>
      </c>
      <c r="G14" s="109">
        <v>0</v>
      </c>
      <c r="H14" s="109">
        <v>0.25</v>
      </c>
      <c r="I14" s="109">
        <v>0.25</v>
      </c>
      <c r="J14" s="112">
        <v>0.25</v>
      </c>
      <c r="K14" s="108">
        <v>0.5</v>
      </c>
      <c r="L14" s="109">
        <v>0.5</v>
      </c>
      <c r="M14" s="109">
        <v>0.5</v>
      </c>
      <c r="N14" s="109">
        <v>0.75</v>
      </c>
      <c r="O14" s="109">
        <v>0.75</v>
      </c>
      <c r="P14" s="109">
        <v>0.75</v>
      </c>
      <c r="Q14" s="108">
        <v>0.75</v>
      </c>
      <c r="R14" s="109">
        <v>0.75</v>
      </c>
      <c r="S14" s="109">
        <v>0.75</v>
      </c>
      <c r="T14" s="109">
        <v>0.75</v>
      </c>
      <c r="U14" s="109">
        <v>0.75</v>
      </c>
      <c r="V14" s="109">
        <v>0.75</v>
      </c>
      <c r="W14" s="109">
        <v>0.75</v>
      </c>
      <c r="X14" s="109">
        <v>0.75</v>
      </c>
      <c r="Y14" s="109">
        <v>0.75</v>
      </c>
      <c r="Z14" s="109">
        <v>0.75</v>
      </c>
      <c r="AA14" s="109">
        <v>0.75</v>
      </c>
      <c r="AB14" s="110">
        <v>0.75</v>
      </c>
      <c r="AC14" s="108">
        <v>0.5</v>
      </c>
      <c r="AD14" s="109">
        <v>0.4</v>
      </c>
      <c r="AE14" s="110">
        <v>0.25</v>
      </c>
    </row>
    <row r="15" spans="2:31" ht="15" thickBot="1" x14ac:dyDescent="0.35">
      <c r="B15" s="106" t="s">
        <v>10</v>
      </c>
      <c r="C15" s="20" t="str">
        <f t="shared" si="0"/>
        <v>Thermal</v>
      </c>
      <c r="D15" s="20" t="s">
        <v>8</v>
      </c>
      <c r="E15" s="173">
        <v>0</v>
      </c>
      <c r="F15" s="174">
        <v>0</v>
      </c>
      <c r="G15" s="174">
        <v>0</v>
      </c>
      <c r="H15" s="174">
        <v>0</v>
      </c>
      <c r="I15" s="174">
        <v>0</v>
      </c>
      <c r="J15" s="122">
        <v>0</v>
      </c>
      <c r="K15" s="173">
        <v>0</v>
      </c>
      <c r="L15" s="174">
        <v>0</v>
      </c>
      <c r="M15" s="174">
        <v>0</v>
      </c>
      <c r="N15" s="174">
        <v>0</v>
      </c>
      <c r="O15" s="174">
        <v>0</v>
      </c>
      <c r="P15" s="174">
        <v>0</v>
      </c>
      <c r="Q15" s="173">
        <v>0.5</v>
      </c>
      <c r="R15" s="174">
        <v>0.5</v>
      </c>
      <c r="S15" s="174">
        <v>0.5</v>
      </c>
      <c r="T15" s="174">
        <v>0.5</v>
      </c>
      <c r="U15" s="174">
        <v>0.5</v>
      </c>
      <c r="V15" s="174">
        <v>0.5</v>
      </c>
      <c r="W15" s="174">
        <v>0.5</v>
      </c>
      <c r="X15" s="174">
        <v>0.5</v>
      </c>
      <c r="Y15" s="174">
        <v>0.5</v>
      </c>
      <c r="Z15" s="174">
        <v>0.5</v>
      </c>
      <c r="AA15" s="174">
        <v>0.5</v>
      </c>
      <c r="AB15" s="175">
        <v>0.5</v>
      </c>
      <c r="AC15" s="173">
        <v>0.25</v>
      </c>
      <c r="AD15" s="174">
        <v>0.15</v>
      </c>
      <c r="AE15" s="175">
        <v>0</v>
      </c>
    </row>
    <row r="16" spans="2:31" x14ac:dyDescent="0.3">
      <c r="B16" s="101" t="s">
        <v>13</v>
      </c>
      <c r="C16" s="98" t="str">
        <f t="shared" si="0"/>
        <v>Thermal</v>
      </c>
      <c r="D16" s="98" t="s">
        <v>12</v>
      </c>
      <c r="E16" s="113">
        <v>0.1</v>
      </c>
      <c r="F16" s="114">
        <v>0.1</v>
      </c>
      <c r="G16" s="114">
        <v>0.1</v>
      </c>
      <c r="H16" s="114">
        <v>0.1</v>
      </c>
      <c r="I16" s="114">
        <v>0.1</v>
      </c>
      <c r="J16" s="117">
        <v>0.1</v>
      </c>
      <c r="K16" s="114">
        <v>0.1</v>
      </c>
      <c r="L16" s="114">
        <v>0.1</v>
      </c>
      <c r="M16" s="114">
        <v>0.1</v>
      </c>
      <c r="N16" s="114">
        <v>0.1</v>
      </c>
      <c r="O16" s="114">
        <v>0.1</v>
      </c>
      <c r="P16" s="114">
        <v>0.1</v>
      </c>
      <c r="Q16" s="113">
        <v>0.1</v>
      </c>
      <c r="R16" s="114">
        <v>0.1</v>
      </c>
      <c r="S16" s="114">
        <v>0.1</v>
      </c>
      <c r="T16" s="114">
        <v>0.1</v>
      </c>
      <c r="U16" s="114">
        <v>0.1</v>
      </c>
      <c r="V16" s="114">
        <v>0.1</v>
      </c>
      <c r="W16" s="114">
        <v>0.1</v>
      </c>
      <c r="X16" s="114">
        <v>0.1</v>
      </c>
      <c r="Y16" s="114">
        <v>0.1</v>
      </c>
      <c r="Z16" s="114">
        <v>0.1</v>
      </c>
      <c r="AA16" s="114">
        <v>0.1</v>
      </c>
      <c r="AB16" s="115">
        <v>0.1</v>
      </c>
      <c r="AC16" s="113">
        <v>0.1</v>
      </c>
      <c r="AD16" s="114">
        <v>0.1</v>
      </c>
      <c r="AE16" s="115">
        <v>0.1</v>
      </c>
    </row>
    <row r="17" spans="2:31" x14ac:dyDescent="0.3">
      <c r="B17" s="102" t="s">
        <v>14</v>
      </c>
      <c r="C17" s="3" t="str">
        <f t="shared" si="0"/>
        <v>Thermal</v>
      </c>
      <c r="D17" s="3" t="s">
        <v>12</v>
      </c>
      <c r="E17" s="113">
        <v>0.05</v>
      </c>
      <c r="F17" s="114">
        <v>0.05</v>
      </c>
      <c r="G17" s="114">
        <v>0.05</v>
      </c>
      <c r="H17" s="114">
        <v>0.05</v>
      </c>
      <c r="I17" s="114">
        <v>0.05</v>
      </c>
      <c r="J17" s="117">
        <v>0.05</v>
      </c>
      <c r="K17" s="114">
        <v>0.05</v>
      </c>
      <c r="L17" s="114">
        <v>0.05</v>
      </c>
      <c r="M17" s="114">
        <v>0.05</v>
      </c>
      <c r="N17" s="114">
        <v>0.05</v>
      </c>
      <c r="O17" s="114">
        <v>0.05</v>
      </c>
      <c r="P17" s="114">
        <v>0.05</v>
      </c>
      <c r="Q17" s="113">
        <v>0.05</v>
      </c>
      <c r="R17" s="114">
        <v>0.05</v>
      </c>
      <c r="S17" s="114">
        <v>0.05</v>
      </c>
      <c r="T17" s="114">
        <v>0.05</v>
      </c>
      <c r="U17" s="114">
        <v>0.05</v>
      </c>
      <c r="V17" s="114">
        <v>0.05</v>
      </c>
      <c r="W17" s="114">
        <v>0.05</v>
      </c>
      <c r="X17" s="114">
        <v>0.05</v>
      </c>
      <c r="Y17" s="114">
        <v>0.05</v>
      </c>
      <c r="Z17" s="114">
        <v>0.05</v>
      </c>
      <c r="AA17" s="114">
        <v>0.05</v>
      </c>
      <c r="AB17" s="115">
        <v>0.05</v>
      </c>
      <c r="AC17" s="113">
        <v>0.05</v>
      </c>
      <c r="AD17" s="114">
        <v>0</v>
      </c>
      <c r="AE17" s="115">
        <v>0</v>
      </c>
    </row>
    <row r="18" spans="2:31" ht="14.25" customHeight="1" x14ac:dyDescent="0.3">
      <c r="B18" s="102" t="s">
        <v>15</v>
      </c>
      <c r="C18" s="3" t="str">
        <f t="shared" si="0"/>
        <v>Thermal</v>
      </c>
      <c r="D18" s="3" t="s">
        <v>12</v>
      </c>
      <c r="E18" s="113">
        <v>0.15</v>
      </c>
      <c r="F18" s="114">
        <v>0.15</v>
      </c>
      <c r="G18" s="114">
        <v>0.15</v>
      </c>
      <c r="H18" s="114">
        <v>0.15</v>
      </c>
      <c r="I18" s="114">
        <v>0.15</v>
      </c>
      <c r="J18" s="117">
        <v>0.15</v>
      </c>
      <c r="K18" s="114">
        <v>0.15</v>
      </c>
      <c r="L18" s="114">
        <v>0.15</v>
      </c>
      <c r="M18" s="114">
        <v>0.15</v>
      </c>
      <c r="N18" s="114">
        <v>0.15</v>
      </c>
      <c r="O18" s="114">
        <v>0.15</v>
      </c>
      <c r="P18" s="114">
        <v>0.15</v>
      </c>
      <c r="Q18" s="113">
        <v>0.15</v>
      </c>
      <c r="R18" s="114">
        <v>0.15</v>
      </c>
      <c r="S18" s="114">
        <v>0.15</v>
      </c>
      <c r="T18" s="114">
        <v>0.15</v>
      </c>
      <c r="U18" s="114">
        <v>0.15</v>
      </c>
      <c r="V18" s="114">
        <v>0.15</v>
      </c>
      <c r="W18" s="114">
        <v>0.15</v>
      </c>
      <c r="X18" s="114">
        <v>0.15</v>
      </c>
      <c r="Y18" s="114">
        <v>0.15</v>
      </c>
      <c r="Z18" s="114">
        <v>0.15</v>
      </c>
      <c r="AA18" s="114">
        <v>0.15</v>
      </c>
      <c r="AB18" s="115">
        <v>0.15</v>
      </c>
      <c r="AC18" s="113">
        <v>0.15</v>
      </c>
      <c r="AD18" s="114">
        <v>0.15</v>
      </c>
      <c r="AE18" s="115">
        <v>0.15</v>
      </c>
    </row>
    <row r="19" spans="2:31" x14ac:dyDescent="0.3">
      <c r="B19" s="102" t="s">
        <v>16</v>
      </c>
      <c r="C19" s="3" t="str">
        <f t="shared" si="0"/>
        <v>Thermal</v>
      </c>
      <c r="D19" s="3" t="s">
        <v>12</v>
      </c>
      <c r="E19" s="113">
        <v>0.1</v>
      </c>
      <c r="F19" s="114">
        <v>0.1</v>
      </c>
      <c r="G19" s="114">
        <v>0.1</v>
      </c>
      <c r="H19" s="114">
        <v>0.1</v>
      </c>
      <c r="I19" s="114">
        <v>0.1</v>
      </c>
      <c r="J19" s="115">
        <v>0.1</v>
      </c>
      <c r="K19" s="114">
        <v>0.1</v>
      </c>
      <c r="L19" s="114">
        <v>0.1</v>
      </c>
      <c r="M19" s="114">
        <v>0.1</v>
      </c>
      <c r="N19" s="114">
        <v>0.1</v>
      </c>
      <c r="O19" s="114">
        <v>0.1</v>
      </c>
      <c r="P19" s="114">
        <v>0.1</v>
      </c>
      <c r="Q19" s="113">
        <v>0.1</v>
      </c>
      <c r="R19" s="114">
        <v>0.1</v>
      </c>
      <c r="S19" s="114">
        <v>0.1</v>
      </c>
      <c r="T19" s="114">
        <v>0.1</v>
      </c>
      <c r="U19" s="114">
        <v>0.1</v>
      </c>
      <c r="V19" s="114">
        <v>0.1</v>
      </c>
      <c r="W19" s="114">
        <v>0.1</v>
      </c>
      <c r="X19" s="114">
        <v>0.1</v>
      </c>
      <c r="Y19" s="114">
        <v>0.1</v>
      </c>
      <c r="Z19" s="114">
        <v>0.1</v>
      </c>
      <c r="AA19" s="114">
        <v>0.1</v>
      </c>
      <c r="AB19" s="115">
        <v>0.1</v>
      </c>
      <c r="AC19" s="113">
        <v>0.1</v>
      </c>
      <c r="AD19" s="114">
        <v>0.1</v>
      </c>
      <c r="AE19" s="115">
        <v>0.1</v>
      </c>
    </row>
    <row r="20" spans="2:31" ht="15" thickBot="1" x14ac:dyDescent="0.35">
      <c r="B20" s="102" t="s">
        <v>18</v>
      </c>
      <c r="C20" s="3" t="str">
        <f t="shared" si="0"/>
        <v>Thermal</v>
      </c>
      <c r="D20" s="3" t="s">
        <v>12</v>
      </c>
      <c r="E20" s="118">
        <v>0.1</v>
      </c>
      <c r="F20" s="119">
        <v>0.1</v>
      </c>
      <c r="G20" s="119">
        <v>0.1</v>
      </c>
      <c r="H20" s="119">
        <v>0.1</v>
      </c>
      <c r="I20" s="119">
        <v>0.1</v>
      </c>
      <c r="J20" s="120">
        <v>0.1</v>
      </c>
      <c r="K20" s="114">
        <v>0.1</v>
      </c>
      <c r="L20" s="114">
        <v>0.1</v>
      </c>
      <c r="M20" s="114">
        <v>0.1</v>
      </c>
      <c r="N20" s="114">
        <v>0.1</v>
      </c>
      <c r="O20" s="114">
        <v>0.1</v>
      </c>
      <c r="P20" s="114">
        <v>0.1</v>
      </c>
      <c r="Q20" s="118">
        <v>0.1</v>
      </c>
      <c r="R20" s="119">
        <v>0.1</v>
      </c>
      <c r="S20" s="119">
        <v>0.1</v>
      </c>
      <c r="T20" s="119">
        <v>0.1</v>
      </c>
      <c r="U20" s="119">
        <v>0.1</v>
      </c>
      <c r="V20" s="119">
        <v>0.1</v>
      </c>
      <c r="W20" s="119">
        <v>0.1</v>
      </c>
      <c r="X20" s="119">
        <v>0.1</v>
      </c>
      <c r="Y20" s="119">
        <v>0.1</v>
      </c>
      <c r="Z20" s="119">
        <v>0.1</v>
      </c>
      <c r="AA20" s="119">
        <v>0.1</v>
      </c>
      <c r="AB20" s="120">
        <v>0.1</v>
      </c>
      <c r="AC20" s="113">
        <v>0.1</v>
      </c>
      <c r="AD20" s="114">
        <v>0.1</v>
      </c>
      <c r="AE20" s="115">
        <v>0.1</v>
      </c>
    </row>
    <row r="22" spans="2:31" x14ac:dyDescent="0.3">
      <c r="C22" s="18"/>
      <c r="D22" s="18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</row>
    <row r="33" s="5" customFormat="1" x14ac:dyDescent="0.3"/>
    <row r="34" s="5" customFormat="1" x14ac:dyDescent="0.3"/>
    <row r="35" s="5" customFormat="1" x14ac:dyDescent="0.3"/>
    <row r="36" s="5" customFormat="1" x14ac:dyDescent="0.3"/>
    <row r="37" s="5" customFormat="1" x14ac:dyDescent="0.3"/>
    <row r="38" s="5" customFormat="1" x14ac:dyDescent="0.3"/>
    <row r="39" s="5" customFormat="1" x14ac:dyDescent="0.3"/>
    <row r="40" s="5" customFormat="1" x14ac:dyDescent="0.3"/>
    <row r="41" s="5" customFormat="1" x14ac:dyDescent="0.3"/>
    <row r="42" s="5" customFormat="1" x14ac:dyDescent="0.3"/>
    <row r="43" s="5" customFormat="1" x14ac:dyDescent="0.3"/>
    <row r="44" s="5" customFormat="1" x14ac:dyDescent="0.3"/>
    <row r="45" s="5" customFormat="1" x14ac:dyDescent="0.3"/>
    <row r="46" s="5" customFormat="1" x14ac:dyDescent="0.3"/>
    <row r="47" s="5" customFormat="1" x14ac:dyDescent="0.3"/>
    <row r="48" s="5" customFormat="1" x14ac:dyDescent="0.3"/>
    <row r="49" s="5" customFormat="1" x14ac:dyDescent="0.3"/>
    <row r="50" s="5" customFormat="1" x14ac:dyDescent="0.3"/>
    <row r="51" s="5" customFormat="1" x14ac:dyDescent="0.3"/>
    <row r="52" s="5" customFormat="1" x14ac:dyDescent="0.3"/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01DBDE-C8D7-433C-95C6-2CC5C8CB6090}">
          <x14:formula1>
            <xm:f>'Duration Table'!$C$7:$C$17</xm:f>
          </x14:formula1>
          <xm:sqref>C2:J2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D4BF-1A33-4741-81FE-BF709B37E61A}">
  <sheetPr>
    <tabColor rgb="FF0070C0"/>
  </sheetPr>
  <dimension ref="B1:AE52"/>
  <sheetViews>
    <sheetView zoomScaleNormal="100" zoomScaleSheetLayoutView="98" workbookViewId="0">
      <selection activeCell="I13" sqref="I13"/>
    </sheetView>
  </sheetViews>
  <sheetFormatPr defaultColWidth="9.109375" defaultRowHeight="14.4" x14ac:dyDescent="0.3"/>
  <cols>
    <col min="1" max="1" width="3.5546875" style="5" customWidth="1"/>
    <col min="2" max="2" width="39.44140625" style="5" customWidth="1"/>
    <col min="3" max="3" width="26.33203125" style="5" customWidth="1"/>
    <col min="4" max="4" width="23.109375" style="5" customWidth="1"/>
    <col min="5" max="10" width="5.44140625" style="5" bestFit="1" customWidth="1"/>
    <col min="11" max="28" width="6" style="5" bestFit="1" customWidth="1"/>
    <col min="29" max="31" width="5.44140625" style="5" customWidth="1"/>
    <col min="32" max="16384" width="9.109375" style="5"/>
  </cols>
  <sheetData>
    <row r="1" spans="2:31" ht="139.94999999999999" customHeight="1" thickBot="1" x14ac:dyDescent="0.35"/>
    <row r="2" spans="2:31" ht="24" thickBot="1" x14ac:dyDescent="0.5">
      <c r="B2" s="172" t="s">
        <v>148</v>
      </c>
      <c r="C2" s="177" t="s">
        <v>28</v>
      </c>
      <c r="D2" s="178"/>
      <c r="E2" s="178"/>
      <c r="F2" s="178"/>
      <c r="G2" s="178"/>
      <c r="H2" s="178"/>
      <c r="I2" s="178"/>
      <c r="J2" s="179"/>
    </row>
    <row r="3" spans="2:31" ht="15" thickBot="1" x14ac:dyDescent="0.35"/>
    <row r="4" spans="2:31" ht="16.2" customHeight="1" thickBot="1" x14ac:dyDescent="0.35">
      <c r="B4" s="99" t="s">
        <v>73</v>
      </c>
      <c r="C4" s="94" t="s">
        <v>123</v>
      </c>
      <c r="D4" s="73" t="s">
        <v>64</v>
      </c>
      <c r="E4" s="180" t="s">
        <v>25</v>
      </c>
      <c r="F4" s="181"/>
      <c r="G4" s="181"/>
      <c r="H4" s="181"/>
      <c r="I4" s="181"/>
      <c r="J4" s="182"/>
      <c r="K4" s="183" t="s">
        <v>0</v>
      </c>
      <c r="L4" s="184"/>
      <c r="M4" s="184"/>
      <c r="N4" s="184"/>
      <c r="O4" s="184"/>
      <c r="P4" s="185"/>
      <c r="Q4" s="186" t="s">
        <v>1</v>
      </c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8"/>
      <c r="AC4" s="189" t="s">
        <v>26</v>
      </c>
      <c r="AD4" s="190"/>
      <c r="AE4" s="191"/>
    </row>
    <row r="5" spans="2:31" ht="15" hidden="1" thickBot="1" x14ac:dyDescent="0.35">
      <c r="B5" s="100" t="s">
        <v>114</v>
      </c>
      <c r="C5" s="93" t="s">
        <v>116</v>
      </c>
      <c r="D5" s="93" t="s">
        <v>117</v>
      </c>
      <c r="E5" s="20" t="s">
        <v>74</v>
      </c>
      <c r="F5" s="16" t="s">
        <v>75</v>
      </c>
      <c r="G5" s="16" t="s">
        <v>76</v>
      </c>
      <c r="H5" s="16" t="s">
        <v>77</v>
      </c>
      <c r="I5" s="16" t="s">
        <v>78</v>
      </c>
      <c r="J5" s="21" t="s">
        <v>79</v>
      </c>
      <c r="K5" s="20" t="s">
        <v>80</v>
      </c>
      <c r="L5" s="16" t="s">
        <v>81</v>
      </c>
      <c r="M5" s="16" t="s">
        <v>82</v>
      </c>
      <c r="N5" s="16" t="s">
        <v>83</v>
      </c>
      <c r="O5" s="16" t="s">
        <v>84</v>
      </c>
      <c r="P5" s="21" t="s">
        <v>85</v>
      </c>
      <c r="Q5" s="20" t="s">
        <v>86</v>
      </c>
      <c r="R5" s="16" t="s">
        <v>87</v>
      </c>
      <c r="S5" s="16" t="s">
        <v>88</v>
      </c>
      <c r="T5" s="16" t="s">
        <v>89</v>
      </c>
      <c r="U5" s="16" t="s">
        <v>90</v>
      </c>
      <c r="V5" s="16" t="s">
        <v>91</v>
      </c>
      <c r="W5" s="16" t="s">
        <v>92</v>
      </c>
      <c r="X5" s="16" t="s">
        <v>93</v>
      </c>
      <c r="Y5" s="16" t="s">
        <v>94</v>
      </c>
      <c r="Z5" s="16" t="s">
        <v>95</v>
      </c>
      <c r="AA5" s="16" t="s">
        <v>96</v>
      </c>
      <c r="AB5" s="21" t="s">
        <v>97</v>
      </c>
      <c r="AC5" s="16" t="s">
        <v>98</v>
      </c>
      <c r="AD5" s="16" t="s">
        <v>99</v>
      </c>
      <c r="AE5" s="16" t="s">
        <v>100</v>
      </c>
    </row>
    <row r="6" spans="2:31" x14ac:dyDescent="0.3">
      <c r="B6" s="150" t="s">
        <v>3</v>
      </c>
      <c r="C6" s="42" t="str">
        <f>$C$2</f>
        <v>Gas</v>
      </c>
      <c r="D6" s="42" t="s">
        <v>2</v>
      </c>
      <c r="E6" s="108">
        <v>0.25</v>
      </c>
      <c r="F6" s="109">
        <v>0.25</v>
      </c>
      <c r="G6" s="109">
        <v>0.25</v>
      </c>
      <c r="H6" s="109">
        <v>0.45</v>
      </c>
      <c r="I6" s="109">
        <v>0.45</v>
      </c>
      <c r="J6" s="112">
        <v>0.45</v>
      </c>
      <c r="K6" s="123">
        <v>0.65</v>
      </c>
      <c r="L6" s="111">
        <v>0.65</v>
      </c>
      <c r="M6" s="111">
        <v>0.65</v>
      </c>
      <c r="N6" s="111">
        <v>0.85</v>
      </c>
      <c r="O6" s="111">
        <v>0.85</v>
      </c>
      <c r="P6" s="112">
        <v>0.85</v>
      </c>
      <c r="Q6" s="123">
        <v>0.85</v>
      </c>
      <c r="R6" s="111">
        <v>0.85</v>
      </c>
      <c r="S6" s="111">
        <v>0.85</v>
      </c>
      <c r="T6" s="111">
        <v>0.85</v>
      </c>
      <c r="U6" s="111">
        <v>0.85</v>
      </c>
      <c r="V6" s="111">
        <v>0.85</v>
      </c>
      <c r="W6" s="111">
        <v>0.85</v>
      </c>
      <c r="X6" s="111">
        <v>0.85</v>
      </c>
      <c r="Y6" s="111">
        <v>0.85</v>
      </c>
      <c r="Z6" s="111">
        <v>0.85</v>
      </c>
      <c r="AA6" s="111">
        <v>0.85</v>
      </c>
      <c r="AB6" s="112">
        <v>0.85</v>
      </c>
      <c r="AC6" s="109">
        <v>0.5</v>
      </c>
      <c r="AD6" s="109">
        <v>0.4</v>
      </c>
      <c r="AE6" s="110">
        <v>0.25</v>
      </c>
    </row>
    <row r="7" spans="2:31" x14ac:dyDescent="0.3">
      <c r="B7" s="63" t="s">
        <v>4</v>
      </c>
      <c r="C7" s="4" t="str">
        <f t="shared" ref="C7:C18" si="0">$C$2</f>
        <v>Gas</v>
      </c>
      <c r="D7" s="4" t="s">
        <v>2</v>
      </c>
      <c r="E7" s="113">
        <v>0.05</v>
      </c>
      <c r="F7" s="114">
        <v>0.05</v>
      </c>
      <c r="G7" s="114">
        <v>0.05</v>
      </c>
      <c r="H7" s="114">
        <v>0.05</v>
      </c>
      <c r="I7" s="114">
        <v>0.05</v>
      </c>
      <c r="J7" s="115">
        <v>0.05</v>
      </c>
      <c r="K7" s="113">
        <v>0.05</v>
      </c>
      <c r="L7" s="114">
        <v>0.05</v>
      </c>
      <c r="M7" s="114">
        <v>0.05</v>
      </c>
      <c r="N7" s="114">
        <v>0.05</v>
      </c>
      <c r="O7" s="114">
        <v>0.05</v>
      </c>
      <c r="P7" s="115">
        <v>0.05</v>
      </c>
      <c r="Q7" s="113">
        <v>0.05</v>
      </c>
      <c r="R7" s="114">
        <v>0.05</v>
      </c>
      <c r="S7" s="114">
        <v>0.05</v>
      </c>
      <c r="T7" s="114">
        <v>0.05</v>
      </c>
      <c r="U7" s="114">
        <v>0.05</v>
      </c>
      <c r="V7" s="114">
        <v>0.05</v>
      </c>
      <c r="W7" s="114">
        <v>0.05</v>
      </c>
      <c r="X7" s="114">
        <v>0.05</v>
      </c>
      <c r="Y7" s="114">
        <v>0.05</v>
      </c>
      <c r="Z7" s="114">
        <v>0.05</v>
      </c>
      <c r="AA7" s="114">
        <v>0.05</v>
      </c>
      <c r="AB7" s="115">
        <v>0.05</v>
      </c>
      <c r="AC7" s="114">
        <v>0.05</v>
      </c>
      <c r="AD7" s="114">
        <v>0.05</v>
      </c>
      <c r="AE7" s="115">
        <v>0.05</v>
      </c>
    </row>
    <row r="8" spans="2:31" ht="15" thickBot="1" x14ac:dyDescent="0.35">
      <c r="B8" s="151" t="s">
        <v>5</v>
      </c>
      <c r="C8" s="21" t="str">
        <f t="shared" si="0"/>
        <v>Gas</v>
      </c>
      <c r="D8" s="21" t="s">
        <v>2</v>
      </c>
      <c r="E8" s="118">
        <v>0.05</v>
      </c>
      <c r="F8" s="119">
        <v>0.05</v>
      </c>
      <c r="G8" s="119">
        <v>0.1</v>
      </c>
      <c r="H8" s="119">
        <v>0.1</v>
      </c>
      <c r="I8" s="119">
        <v>0.15</v>
      </c>
      <c r="J8" s="122">
        <v>0.15</v>
      </c>
      <c r="K8" s="125">
        <v>0.25</v>
      </c>
      <c r="L8" s="121">
        <v>0.25</v>
      </c>
      <c r="M8" s="121">
        <v>0.25</v>
      </c>
      <c r="N8" s="121">
        <v>0.25</v>
      </c>
      <c r="O8" s="121">
        <v>0.25</v>
      </c>
      <c r="P8" s="122">
        <v>0.25</v>
      </c>
      <c r="Q8" s="125">
        <v>0.25</v>
      </c>
      <c r="R8" s="121">
        <v>0.25</v>
      </c>
      <c r="S8" s="121">
        <v>0.25</v>
      </c>
      <c r="T8" s="121">
        <v>0.25</v>
      </c>
      <c r="U8" s="121">
        <v>0.25</v>
      </c>
      <c r="V8" s="121">
        <v>0.25</v>
      </c>
      <c r="W8" s="121">
        <v>0.25</v>
      </c>
      <c r="X8" s="121">
        <v>0.25</v>
      </c>
      <c r="Y8" s="121">
        <v>0.25</v>
      </c>
      <c r="Z8" s="121">
        <v>0.25</v>
      </c>
      <c r="AA8" s="121">
        <v>0.25</v>
      </c>
      <c r="AB8" s="122">
        <v>0.25</v>
      </c>
      <c r="AC8" s="121">
        <v>0.25</v>
      </c>
      <c r="AD8" s="121">
        <v>0.25</v>
      </c>
      <c r="AE8" s="122">
        <v>0.25</v>
      </c>
    </row>
    <row r="9" spans="2:31" s="7" customFormat="1" x14ac:dyDescent="0.3">
      <c r="B9" s="150" t="s">
        <v>132</v>
      </c>
      <c r="C9" s="42" t="str">
        <f t="shared" si="0"/>
        <v>Gas</v>
      </c>
      <c r="D9" s="42" t="s">
        <v>6</v>
      </c>
      <c r="E9" s="113">
        <v>0.05</v>
      </c>
      <c r="F9" s="114">
        <v>0.05</v>
      </c>
      <c r="G9" s="114">
        <v>0.05</v>
      </c>
      <c r="H9" s="114">
        <v>0.05</v>
      </c>
      <c r="I9" s="114">
        <v>0.05</v>
      </c>
      <c r="J9" s="115">
        <v>0.05</v>
      </c>
      <c r="K9" s="124">
        <v>0.1</v>
      </c>
      <c r="L9" s="116">
        <v>0.1</v>
      </c>
      <c r="M9" s="116">
        <v>0.1</v>
      </c>
      <c r="N9" s="116">
        <v>0.1</v>
      </c>
      <c r="O9" s="116">
        <v>0.1</v>
      </c>
      <c r="P9" s="117">
        <v>0.1</v>
      </c>
      <c r="Q9" s="124">
        <v>0.1</v>
      </c>
      <c r="R9" s="116">
        <v>0.1</v>
      </c>
      <c r="S9" s="116">
        <v>0.1</v>
      </c>
      <c r="T9" s="116">
        <v>0.1</v>
      </c>
      <c r="U9" s="116">
        <v>0.1</v>
      </c>
      <c r="V9" s="116">
        <v>0.1</v>
      </c>
      <c r="W9" s="116">
        <v>0.1</v>
      </c>
      <c r="X9" s="116">
        <v>0.1</v>
      </c>
      <c r="Y9" s="116">
        <v>0.1</v>
      </c>
      <c r="Z9" s="116">
        <v>0.1</v>
      </c>
      <c r="AA9" s="116">
        <v>0.1</v>
      </c>
      <c r="AB9" s="117">
        <v>0.1</v>
      </c>
      <c r="AC9" s="114">
        <v>0.05</v>
      </c>
      <c r="AD9" s="114">
        <v>0.05</v>
      </c>
      <c r="AE9" s="114">
        <v>0</v>
      </c>
    </row>
    <row r="10" spans="2:31" x14ac:dyDescent="0.3">
      <c r="B10" s="63" t="s">
        <v>162</v>
      </c>
      <c r="C10" s="4" t="str">
        <f t="shared" si="0"/>
        <v>Gas</v>
      </c>
      <c r="D10" s="4" t="s">
        <v>6</v>
      </c>
      <c r="E10" s="113">
        <v>0.05</v>
      </c>
      <c r="F10" s="114">
        <v>0.05</v>
      </c>
      <c r="G10" s="114">
        <v>0.05</v>
      </c>
      <c r="H10" s="114">
        <v>0.05</v>
      </c>
      <c r="I10" s="114">
        <v>0.05</v>
      </c>
      <c r="J10" s="115">
        <v>0.05</v>
      </c>
      <c r="K10" s="124">
        <v>0.1</v>
      </c>
      <c r="L10" s="116">
        <v>0.1</v>
      </c>
      <c r="M10" s="116">
        <v>0.1</v>
      </c>
      <c r="N10" s="116">
        <v>0.1</v>
      </c>
      <c r="O10" s="116">
        <v>0.1</v>
      </c>
      <c r="P10" s="117">
        <v>0.1</v>
      </c>
      <c r="Q10" s="124">
        <v>0.1</v>
      </c>
      <c r="R10" s="116">
        <v>0.1</v>
      </c>
      <c r="S10" s="116">
        <v>0.1</v>
      </c>
      <c r="T10" s="116">
        <v>0.1</v>
      </c>
      <c r="U10" s="116">
        <v>0.1</v>
      </c>
      <c r="V10" s="116">
        <v>0.1</v>
      </c>
      <c r="W10" s="116">
        <v>0.1</v>
      </c>
      <c r="X10" s="116">
        <v>0.1</v>
      </c>
      <c r="Y10" s="116">
        <v>0.1</v>
      </c>
      <c r="Z10" s="116">
        <v>0.1</v>
      </c>
      <c r="AA10" s="116">
        <v>0.1</v>
      </c>
      <c r="AB10" s="117">
        <v>0.1</v>
      </c>
      <c r="AC10" s="114">
        <v>0.05</v>
      </c>
      <c r="AD10" s="114">
        <v>0.05</v>
      </c>
      <c r="AE10" s="114">
        <v>0</v>
      </c>
    </row>
    <row r="11" spans="2:31" ht="15" thickBot="1" x14ac:dyDescent="0.35">
      <c r="B11" s="151" t="s">
        <v>120</v>
      </c>
      <c r="C11" s="21" t="str">
        <f t="shared" si="0"/>
        <v>Gas</v>
      </c>
      <c r="D11" s="21" t="s">
        <v>6</v>
      </c>
      <c r="E11" s="113">
        <v>0.05</v>
      </c>
      <c r="F11" s="114">
        <v>0.05</v>
      </c>
      <c r="G11" s="114">
        <v>0.05</v>
      </c>
      <c r="H11" s="114">
        <v>0.05</v>
      </c>
      <c r="I11" s="114">
        <v>0.05</v>
      </c>
      <c r="J11" s="115">
        <v>0.05</v>
      </c>
      <c r="K11" s="124">
        <v>0.1</v>
      </c>
      <c r="L11" s="116">
        <v>0.1</v>
      </c>
      <c r="M11" s="116">
        <v>0.1</v>
      </c>
      <c r="N11" s="116">
        <v>0.1</v>
      </c>
      <c r="O11" s="116">
        <v>0.1</v>
      </c>
      <c r="P11" s="117">
        <v>0.1</v>
      </c>
      <c r="Q11" s="124">
        <v>0.1</v>
      </c>
      <c r="R11" s="116">
        <v>0.1</v>
      </c>
      <c r="S11" s="116">
        <v>0.1</v>
      </c>
      <c r="T11" s="116">
        <v>0.1</v>
      </c>
      <c r="U11" s="116">
        <v>0.1</v>
      </c>
      <c r="V11" s="116">
        <v>0.1</v>
      </c>
      <c r="W11" s="116">
        <v>0.1</v>
      </c>
      <c r="X11" s="116">
        <v>0.1</v>
      </c>
      <c r="Y11" s="116">
        <v>0.1</v>
      </c>
      <c r="Z11" s="116">
        <v>0.1</v>
      </c>
      <c r="AA11" s="116">
        <v>0.1</v>
      </c>
      <c r="AB11" s="117">
        <v>0.1</v>
      </c>
      <c r="AC11" s="114">
        <v>0.05</v>
      </c>
      <c r="AD11" s="114">
        <v>0.05</v>
      </c>
      <c r="AE11" s="114">
        <v>0</v>
      </c>
    </row>
    <row r="12" spans="2:31" x14ac:dyDescent="0.3">
      <c r="B12" s="150" t="s">
        <v>9</v>
      </c>
      <c r="C12" s="42" t="str">
        <f t="shared" si="0"/>
        <v>Gas</v>
      </c>
      <c r="D12" s="42" t="s">
        <v>8</v>
      </c>
      <c r="E12" s="108">
        <v>0</v>
      </c>
      <c r="F12" s="109">
        <v>0</v>
      </c>
      <c r="G12" s="109">
        <v>0</v>
      </c>
      <c r="H12" s="109">
        <v>0.25</v>
      </c>
      <c r="I12" s="109">
        <v>0.25</v>
      </c>
      <c r="J12" s="112">
        <v>0.25</v>
      </c>
      <c r="K12" s="108">
        <v>0.5</v>
      </c>
      <c r="L12" s="109">
        <v>0.5</v>
      </c>
      <c r="M12" s="109">
        <v>0.5</v>
      </c>
      <c r="N12" s="109">
        <v>0.75</v>
      </c>
      <c r="O12" s="109">
        <v>0.75</v>
      </c>
      <c r="P12" s="109">
        <v>0.75</v>
      </c>
      <c r="Q12" s="108">
        <v>0.75</v>
      </c>
      <c r="R12" s="109">
        <v>0.75</v>
      </c>
      <c r="S12" s="109">
        <v>0.75</v>
      </c>
      <c r="T12" s="109">
        <v>0.75</v>
      </c>
      <c r="U12" s="109">
        <v>0.75</v>
      </c>
      <c r="V12" s="109">
        <v>0.75</v>
      </c>
      <c r="W12" s="109">
        <v>0.75</v>
      </c>
      <c r="X12" s="109">
        <v>0.75</v>
      </c>
      <c r="Y12" s="109">
        <v>0.75</v>
      </c>
      <c r="Z12" s="109">
        <v>0.75</v>
      </c>
      <c r="AA12" s="109">
        <v>0.75</v>
      </c>
      <c r="AB12" s="110">
        <v>0.75</v>
      </c>
      <c r="AC12" s="108">
        <v>0.5</v>
      </c>
      <c r="AD12" s="109">
        <v>0.4</v>
      </c>
      <c r="AE12" s="110">
        <v>0.25</v>
      </c>
    </row>
    <row r="13" spans="2:31" ht="15" thickBot="1" x14ac:dyDescent="0.35">
      <c r="B13" s="151" t="s">
        <v>10</v>
      </c>
      <c r="C13" s="21" t="str">
        <f t="shared" si="0"/>
        <v>Gas</v>
      </c>
      <c r="D13" s="21" t="s">
        <v>8</v>
      </c>
      <c r="E13" s="173">
        <v>0</v>
      </c>
      <c r="F13" s="174">
        <v>0</v>
      </c>
      <c r="G13" s="174">
        <v>0</v>
      </c>
      <c r="H13" s="174">
        <v>0</v>
      </c>
      <c r="I13" s="174">
        <v>0</v>
      </c>
      <c r="J13" s="122">
        <v>0</v>
      </c>
      <c r="K13" s="173">
        <v>0</v>
      </c>
      <c r="L13" s="174">
        <v>0</v>
      </c>
      <c r="M13" s="174">
        <v>0</v>
      </c>
      <c r="N13" s="174">
        <v>0</v>
      </c>
      <c r="O13" s="174">
        <v>0</v>
      </c>
      <c r="P13" s="174">
        <v>0</v>
      </c>
      <c r="Q13" s="173">
        <v>0.5</v>
      </c>
      <c r="R13" s="174">
        <v>0.5</v>
      </c>
      <c r="S13" s="174">
        <v>0.5</v>
      </c>
      <c r="T13" s="174">
        <v>0.5</v>
      </c>
      <c r="U13" s="174">
        <v>0.5</v>
      </c>
      <c r="V13" s="174">
        <v>0.5</v>
      </c>
      <c r="W13" s="174">
        <v>0.5</v>
      </c>
      <c r="X13" s="174">
        <v>0.5</v>
      </c>
      <c r="Y13" s="174">
        <v>0.5</v>
      </c>
      <c r="Z13" s="174">
        <v>0.5</v>
      </c>
      <c r="AA13" s="174">
        <v>0.5</v>
      </c>
      <c r="AB13" s="175">
        <v>0.5</v>
      </c>
      <c r="AC13" s="173">
        <v>0.25</v>
      </c>
      <c r="AD13" s="174">
        <v>0.15</v>
      </c>
      <c r="AE13" s="175">
        <v>0</v>
      </c>
    </row>
    <row r="14" spans="2:31" x14ac:dyDescent="0.3">
      <c r="B14" s="63" t="s">
        <v>13</v>
      </c>
      <c r="C14" s="4" t="str">
        <f t="shared" si="0"/>
        <v>Gas</v>
      </c>
      <c r="D14" s="4" t="s">
        <v>12</v>
      </c>
      <c r="E14" s="113">
        <v>0.1</v>
      </c>
      <c r="F14" s="114">
        <v>0.1</v>
      </c>
      <c r="G14" s="114">
        <v>0.1</v>
      </c>
      <c r="H14" s="114">
        <v>0.1</v>
      </c>
      <c r="I14" s="114">
        <v>0.1</v>
      </c>
      <c r="J14" s="117">
        <v>0.1</v>
      </c>
      <c r="K14" s="114">
        <v>0.15</v>
      </c>
      <c r="L14" s="114">
        <v>0.15</v>
      </c>
      <c r="M14" s="114">
        <v>0.15</v>
      </c>
      <c r="N14" s="114">
        <v>0.15</v>
      </c>
      <c r="O14" s="114">
        <v>0.15</v>
      </c>
      <c r="P14" s="114">
        <v>0.15</v>
      </c>
      <c r="Q14" s="113">
        <v>0.1</v>
      </c>
      <c r="R14" s="114">
        <v>0.1</v>
      </c>
      <c r="S14" s="114">
        <v>0.1</v>
      </c>
      <c r="T14" s="114">
        <v>0.1</v>
      </c>
      <c r="U14" s="114">
        <v>0.1</v>
      </c>
      <c r="V14" s="114">
        <v>0.1</v>
      </c>
      <c r="W14" s="114">
        <v>0.1</v>
      </c>
      <c r="X14" s="114">
        <v>0.1</v>
      </c>
      <c r="Y14" s="114">
        <v>0.1</v>
      </c>
      <c r="Z14" s="114">
        <v>0.1</v>
      </c>
      <c r="AA14" s="114">
        <v>0.1</v>
      </c>
      <c r="AB14" s="115">
        <v>0.1</v>
      </c>
      <c r="AC14" s="113">
        <v>0.05</v>
      </c>
      <c r="AD14" s="114">
        <v>0.05</v>
      </c>
      <c r="AE14" s="115">
        <v>0.05</v>
      </c>
    </row>
    <row r="15" spans="2:31" x14ac:dyDescent="0.3">
      <c r="B15" s="63" t="s">
        <v>14</v>
      </c>
      <c r="C15" s="4" t="str">
        <f t="shared" si="0"/>
        <v>Gas</v>
      </c>
      <c r="D15" s="4" t="s">
        <v>12</v>
      </c>
      <c r="E15" s="113">
        <v>0.1</v>
      </c>
      <c r="F15" s="114">
        <v>0.1</v>
      </c>
      <c r="G15" s="114">
        <v>0.1</v>
      </c>
      <c r="H15" s="114">
        <v>0.1</v>
      </c>
      <c r="I15" s="114">
        <v>0.1</v>
      </c>
      <c r="J15" s="117">
        <v>0.1</v>
      </c>
      <c r="K15" s="114">
        <v>0.1</v>
      </c>
      <c r="L15" s="114">
        <v>0.1</v>
      </c>
      <c r="M15" s="114">
        <v>0.1</v>
      </c>
      <c r="N15" s="114">
        <v>0.1</v>
      </c>
      <c r="O15" s="114">
        <v>0.1</v>
      </c>
      <c r="P15" s="114">
        <v>0.1</v>
      </c>
      <c r="Q15" s="113">
        <v>0.1</v>
      </c>
      <c r="R15" s="114">
        <v>0.1</v>
      </c>
      <c r="S15" s="114">
        <v>0.1</v>
      </c>
      <c r="T15" s="114">
        <v>0.1</v>
      </c>
      <c r="U15" s="114">
        <v>0.1</v>
      </c>
      <c r="V15" s="114">
        <v>0.1</v>
      </c>
      <c r="W15" s="114">
        <v>0.1</v>
      </c>
      <c r="X15" s="114">
        <v>0.1</v>
      </c>
      <c r="Y15" s="114">
        <v>0.1</v>
      </c>
      <c r="Z15" s="114">
        <v>0.1</v>
      </c>
      <c r="AA15" s="114">
        <v>0.1</v>
      </c>
      <c r="AB15" s="115">
        <v>0.1</v>
      </c>
      <c r="AC15" s="113">
        <v>0.05</v>
      </c>
      <c r="AD15" s="114">
        <v>0.05</v>
      </c>
      <c r="AE15" s="115">
        <v>0.05</v>
      </c>
    </row>
    <row r="16" spans="2:31" x14ac:dyDescent="0.3">
      <c r="B16" s="63" t="s">
        <v>15</v>
      </c>
      <c r="C16" s="4" t="str">
        <f t="shared" si="0"/>
        <v>Gas</v>
      </c>
      <c r="D16" s="4" t="s">
        <v>12</v>
      </c>
      <c r="E16" s="113">
        <v>0.1</v>
      </c>
      <c r="F16" s="114">
        <v>0.1</v>
      </c>
      <c r="G16" s="114">
        <v>0.1</v>
      </c>
      <c r="H16" s="114">
        <v>0.1</v>
      </c>
      <c r="I16" s="114">
        <v>0.1</v>
      </c>
      <c r="J16" s="117">
        <v>0.1</v>
      </c>
      <c r="K16" s="114">
        <v>0.1</v>
      </c>
      <c r="L16" s="114">
        <v>0.1</v>
      </c>
      <c r="M16" s="114">
        <v>0.1</v>
      </c>
      <c r="N16" s="114">
        <v>0.1</v>
      </c>
      <c r="O16" s="114">
        <v>0.1</v>
      </c>
      <c r="P16" s="114">
        <v>0.1</v>
      </c>
      <c r="Q16" s="113">
        <v>0.2</v>
      </c>
      <c r="R16" s="114">
        <v>0.2</v>
      </c>
      <c r="S16" s="114">
        <v>0.2</v>
      </c>
      <c r="T16" s="114">
        <v>0.2</v>
      </c>
      <c r="U16" s="114">
        <v>0.2</v>
      </c>
      <c r="V16" s="114">
        <v>0.2</v>
      </c>
      <c r="W16" s="114">
        <v>0.2</v>
      </c>
      <c r="X16" s="114">
        <v>0.2</v>
      </c>
      <c r="Y16" s="114">
        <v>0.2</v>
      </c>
      <c r="Z16" s="114">
        <v>0.2</v>
      </c>
      <c r="AA16" s="114">
        <v>0.2</v>
      </c>
      <c r="AB16" s="115">
        <v>0.2</v>
      </c>
      <c r="AC16" s="113">
        <v>0.25</v>
      </c>
      <c r="AD16" s="114">
        <v>0.25</v>
      </c>
      <c r="AE16" s="115">
        <v>0.25</v>
      </c>
    </row>
    <row r="17" spans="2:31" x14ac:dyDescent="0.3">
      <c r="B17" s="63" t="s">
        <v>16</v>
      </c>
      <c r="C17" s="4" t="str">
        <f t="shared" si="0"/>
        <v>Gas</v>
      </c>
      <c r="D17" s="4" t="s">
        <v>12</v>
      </c>
      <c r="E17" s="113">
        <v>0.2</v>
      </c>
      <c r="F17" s="114">
        <v>0.2</v>
      </c>
      <c r="G17" s="114">
        <v>0.2</v>
      </c>
      <c r="H17" s="114">
        <v>0.2</v>
      </c>
      <c r="I17" s="114">
        <v>0.2</v>
      </c>
      <c r="J17" s="115">
        <v>0.2</v>
      </c>
      <c r="K17" s="114">
        <v>0.2</v>
      </c>
      <c r="L17" s="114">
        <v>0.2</v>
      </c>
      <c r="M17" s="114">
        <v>0.2</v>
      </c>
      <c r="N17" s="114">
        <v>0.2</v>
      </c>
      <c r="O17" s="114">
        <v>0.2</v>
      </c>
      <c r="P17" s="114">
        <v>0.2</v>
      </c>
      <c r="Q17" s="113">
        <v>0.2</v>
      </c>
      <c r="R17" s="114">
        <v>0.2</v>
      </c>
      <c r="S17" s="114">
        <v>0.2</v>
      </c>
      <c r="T17" s="114">
        <v>0.2</v>
      </c>
      <c r="U17" s="114">
        <v>0.2</v>
      </c>
      <c r="V17" s="114">
        <v>0.2</v>
      </c>
      <c r="W17" s="114">
        <v>0.2</v>
      </c>
      <c r="X17" s="114">
        <v>0.2</v>
      </c>
      <c r="Y17" s="114">
        <v>0.2</v>
      </c>
      <c r="Z17" s="114">
        <v>0.2</v>
      </c>
      <c r="AA17" s="114">
        <v>0.2</v>
      </c>
      <c r="AB17" s="115">
        <v>0.2</v>
      </c>
      <c r="AC17" s="113">
        <v>0.05</v>
      </c>
      <c r="AD17" s="114">
        <v>0.05</v>
      </c>
      <c r="AE17" s="115">
        <v>0.05</v>
      </c>
    </row>
    <row r="18" spans="2:31" ht="15" thickBot="1" x14ac:dyDescent="0.35">
      <c r="B18" s="63" t="s">
        <v>18</v>
      </c>
      <c r="C18" s="4" t="str">
        <f t="shared" si="0"/>
        <v>Gas</v>
      </c>
      <c r="D18" s="4" t="s">
        <v>12</v>
      </c>
      <c r="E18" s="118">
        <v>0.2</v>
      </c>
      <c r="F18" s="119">
        <v>0.2</v>
      </c>
      <c r="G18" s="119">
        <v>0.2</v>
      </c>
      <c r="H18" s="119">
        <v>0.2</v>
      </c>
      <c r="I18" s="119">
        <v>0.2</v>
      </c>
      <c r="J18" s="120">
        <v>0.2</v>
      </c>
      <c r="K18" s="114">
        <v>0.45</v>
      </c>
      <c r="L18" s="114">
        <v>0.45</v>
      </c>
      <c r="M18" s="114">
        <v>0.45</v>
      </c>
      <c r="N18" s="114">
        <v>0.45</v>
      </c>
      <c r="O18" s="114">
        <v>0.45</v>
      </c>
      <c r="P18" s="114">
        <v>0.45</v>
      </c>
      <c r="Q18" s="118">
        <v>0.45</v>
      </c>
      <c r="R18" s="119">
        <v>0.45</v>
      </c>
      <c r="S18" s="119">
        <v>0.45</v>
      </c>
      <c r="T18" s="119">
        <v>0.45</v>
      </c>
      <c r="U18" s="119">
        <v>0.45</v>
      </c>
      <c r="V18" s="119">
        <v>0.45</v>
      </c>
      <c r="W18" s="119">
        <v>0.45</v>
      </c>
      <c r="X18" s="119">
        <v>0.45</v>
      </c>
      <c r="Y18" s="119">
        <v>0.45</v>
      </c>
      <c r="Z18" s="119">
        <v>0.45</v>
      </c>
      <c r="AA18" s="119">
        <v>0.45</v>
      </c>
      <c r="AB18" s="120">
        <v>0.45</v>
      </c>
      <c r="AC18" s="113">
        <v>0.15</v>
      </c>
      <c r="AD18" s="114">
        <v>0.15</v>
      </c>
      <c r="AE18" s="115">
        <v>0.15</v>
      </c>
    </row>
    <row r="20" spans="2:31" x14ac:dyDescent="0.3">
      <c r="C20" s="6"/>
      <c r="D20" s="6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</row>
    <row r="33" s="5" customFormat="1" x14ac:dyDescent="0.3"/>
    <row r="34" s="5" customFormat="1" x14ac:dyDescent="0.3"/>
    <row r="35" s="5" customFormat="1" x14ac:dyDescent="0.3"/>
    <row r="36" s="5" customFormat="1" x14ac:dyDescent="0.3"/>
    <row r="37" s="5" customFormat="1" x14ac:dyDescent="0.3"/>
    <row r="38" s="5" customFormat="1" x14ac:dyDescent="0.3"/>
    <row r="39" s="5" customFormat="1" x14ac:dyDescent="0.3"/>
    <row r="40" s="5" customFormat="1" x14ac:dyDescent="0.3"/>
    <row r="41" s="5" customFormat="1" x14ac:dyDescent="0.3"/>
    <row r="42" s="5" customFormat="1" x14ac:dyDescent="0.3"/>
    <row r="43" s="5" customFormat="1" x14ac:dyDescent="0.3"/>
    <row r="44" s="5" customFormat="1" x14ac:dyDescent="0.3"/>
    <row r="45" s="5" customFormat="1" x14ac:dyDescent="0.3"/>
    <row r="46" s="5" customFormat="1" x14ac:dyDescent="0.3"/>
    <row r="47" s="5" customFormat="1" x14ac:dyDescent="0.3"/>
    <row r="48" s="5" customFormat="1" x14ac:dyDescent="0.3"/>
    <row r="49" s="5" customFormat="1" x14ac:dyDescent="0.3"/>
    <row r="50" s="5" customFormat="1" x14ac:dyDescent="0.3"/>
    <row r="51" s="5" customFormat="1" x14ac:dyDescent="0.3"/>
    <row r="52" s="5" customFormat="1" x14ac:dyDescent="0.3"/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02F78C-7839-443E-9D6E-886290B66AE4}">
          <x14:formula1>
            <xm:f>'Duration Table'!$C$7:$C$17</xm:f>
          </x14:formula1>
          <xm:sqref>C2:J2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8191-8232-4DB9-8076-D0638C370FD4}">
  <sheetPr>
    <tabColor rgb="FF0070C0"/>
  </sheetPr>
  <dimension ref="B1:AE22"/>
  <sheetViews>
    <sheetView zoomScaleNormal="100" workbookViewId="0">
      <selection activeCell="R1" sqref="R1"/>
    </sheetView>
  </sheetViews>
  <sheetFormatPr defaultColWidth="9.109375" defaultRowHeight="14.4" x14ac:dyDescent="0.3"/>
  <cols>
    <col min="1" max="1" width="3.5546875" style="5" customWidth="1"/>
    <col min="2" max="2" width="39.44140625" style="5" customWidth="1"/>
    <col min="3" max="3" width="25.88671875" style="5" customWidth="1"/>
    <col min="4" max="4" width="23.109375" style="5" customWidth="1"/>
    <col min="5" max="10" width="5.44140625" style="5" bestFit="1" customWidth="1"/>
    <col min="11" max="28" width="6" style="5" bestFit="1" customWidth="1"/>
    <col min="29" max="31" width="5.44140625" style="5" customWidth="1"/>
    <col min="32" max="16384" width="9.109375" style="5"/>
  </cols>
  <sheetData>
    <row r="1" spans="2:31" ht="139.94999999999999" customHeight="1" thickBot="1" x14ac:dyDescent="0.35"/>
    <row r="2" spans="2:31" ht="24" thickBot="1" x14ac:dyDescent="0.5">
      <c r="B2" s="172" t="s">
        <v>148</v>
      </c>
      <c r="C2" s="177" t="s">
        <v>29</v>
      </c>
      <c r="D2" s="178"/>
      <c r="E2" s="178"/>
      <c r="F2" s="178"/>
      <c r="G2" s="178"/>
      <c r="H2" s="178"/>
      <c r="I2" s="178"/>
      <c r="J2" s="179"/>
    </row>
    <row r="3" spans="2:31" ht="15" thickBot="1" x14ac:dyDescent="0.35"/>
    <row r="4" spans="2:31" ht="16.2" thickBot="1" x14ac:dyDescent="0.35">
      <c r="B4" s="99" t="s">
        <v>73</v>
      </c>
      <c r="C4" s="73" t="s">
        <v>123</v>
      </c>
      <c r="D4" s="73" t="s">
        <v>64</v>
      </c>
      <c r="E4" s="180" t="s">
        <v>25</v>
      </c>
      <c r="F4" s="181"/>
      <c r="G4" s="181"/>
      <c r="H4" s="181"/>
      <c r="I4" s="181"/>
      <c r="J4" s="182"/>
      <c r="K4" s="183" t="s">
        <v>0</v>
      </c>
      <c r="L4" s="184"/>
      <c r="M4" s="184"/>
      <c r="N4" s="184"/>
      <c r="O4" s="184"/>
      <c r="P4" s="185"/>
      <c r="Q4" s="186" t="s">
        <v>1</v>
      </c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8"/>
      <c r="AC4" s="189" t="s">
        <v>26</v>
      </c>
      <c r="AD4" s="190"/>
      <c r="AE4" s="191"/>
    </row>
    <row r="5" spans="2:31" ht="15" hidden="1" thickBot="1" x14ac:dyDescent="0.35">
      <c r="B5" s="43" t="s">
        <v>114</v>
      </c>
      <c r="C5" s="43" t="s">
        <v>116</v>
      </c>
      <c r="D5" s="43" t="s">
        <v>117</v>
      </c>
      <c r="E5" s="3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4" t="s">
        <v>79</v>
      </c>
      <c r="K5" s="3" t="s">
        <v>80</v>
      </c>
      <c r="L5" s="38" t="s">
        <v>81</v>
      </c>
      <c r="M5" s="38" t="s">
        <v>82</v>
      </c>
      <c r="N5" s="38" t="s">
        <v>83</v>
      </c>
      <c r="O5" s="38" t="s">
        <v>84</v>
      </c>
      <c r="P5" s="4" t="s">
        <v>85</v>
      </c>
      <c r="Q5" s="3" t="s">
        <v>86</v>
      </c>
      <c r="R5" s="38" t="s">
        <v>87</v>
      </c>
      <c r="S5" s="38" t="s">
        <v>88</v>
      </c>
      <c r="T5" s="38" t="s">
        <v>89</v>
      </c>
      <c r="U5" s="38" t="s">
        <v>90</v>
      </c>
      <c r="V5" s="38" t="s">
        <v>91</v>
      </c>
      <c r="W5" s="38" t="s">
        <v>92</v>
      </c>
      <c r="X5" s="38" t="s">
        <v>93</v>
      </c>
      <c r="Y5" s="38" t="s">
        <v>94</v>
      </c>
      <c r="Z5" s="38" t="s">
        <v>95</v>
      </c>
      <c r="AA5" s="38" t="s">
        <v>96</v>
      </c>
      <c r="AB5" s="4" t="s">
        <v>97</v>
      </c>
      <c r="AC5" s="38" t="s">
        <v>98</v>
      </c>
      <c r="AD5" s="38" t="s">
        <v>99</v>
      </c>
      <c r="AE5" s="38" t="s">
        <v>100</v>
      </c>
    </row>
    <row r="6" spans="2:31" x14ac:dyDescent="0.3">
      <c r="B6" s="102" t="s">
        <v>3</v>
      </c>
      <c r="C6" s="98" t="str">
        <f>$C$2</f>
        <v>Wind</v>
      </c>
      <c r="D6" s="98" t="s">
        <v>2</v>
      </c>
      <c r="E6" s="108">
        <v>0.25</v>
      </c>
      <c r="F6" s="109">
        <v>0.25</v>
      </c>
      <c r="G6" s="109">
        <v>0.25</v>
      </c>
      <c r="H6" s="109">
        <v>0.45</v>
      </c>
      <c r="I6" s="109">
        <v>0.45</v>
      </c>
      <c r="J6" s="112">
        <v>0.45</v>
      </c>
      <c r="K6" s="123">
        <v>0.65</v>
      </c>
      <c r="L6" s="111">
        <v>0.65</v>
      </c>
      <c r="M6" s="111">
        <v>0.65</v>
      </c>
      <c r="N6" s="111">
        <v>0.85</v>
      </c>
      <c r="O6" s="111">
        <v>0.85</v>
      </c>
      <c r="P6" s="112">
        <v>0.85</v>
      </c>
      <c r="Q6" s="123">
        <v>0.85</v>
      </c>
      <c r="R6" s="111">
        <v>0.85</v>
      </c>
      <c r="S6" s="111">
        <v>0.85</v>
      </c>
      <c r="T6" s="111">
        <v>0.85</v>
      </c>
      <c r="U6" s="111">
        <v>0.85</v>
      </c>
      <c r="V6" s="111">
        <v>0.85</v>
      </c>
      <c r="W6" s="111">
        <v>0.85</v>
      </c>
      <c r="X6" s="111">
        <v>0.85</v>
      </c>
      <c r="Y6" s="111">
        <v>0.85</v>
      </c>
      <c r="Z6" s="111">
        <v>0.85</v>
      </c>
      <c r="AA6" s="111">
        <v>0.85</v>
      </c>
      <c r="AB6" s="112">
        <v>0.85</v>
      </c>
      <c r="AC6" s="109">
        <v>0.5</v>
      </c>
      <c r="AD6" s="109">
        <v>0.4</v>
      </c>
      <c r="AE6" s="110">
        <v>0.25</v>
      </c>
    </row>
    <row r="7" spans="2:31" x14ac:dyDescent="0.3">
      <c r="B7" s="102" t="s">
        <v>4</v>
      </c>
      <c r="C7" s="3" t="str">
        <f t="shared" ref="C7:C20" si="0">$C$2</f>
        <v>Wind</v>
      </c>
      <c r="D7" s="3" t="s">
        <v>2</v>
      </c>
      <c r="E7" s="113">
        <v>0.05</v>
      </c>
      <c r="F7" s="114">
        <v>0.05</v>
      </c>
      <c r="G7" s="114">
        <v>0.05</v>
      </c>
      <c r="H7" s="114">
        <v>0.05</v>
      </c>
      <c r="I7" s="114">
        <v>0.05</v>
      </c>
      <c r="J7" s="115">
        <v>0.05</v>
      </c>
      <c r="K7" s="113">
        <v>0.05</v>
      </c>
      <c r="L7" s="114">
        <v>0.05</v>
      </c>
      <c r="M7" s="114">
        <v>0.05</v>
      </c>
      <c r="N7" s="114">
        <v>0.05</v>
      </c>
      <c r="O7" s="114">
        <v>0.05</v>
      </c>
      <c r="P7" s="115">
        <v>0.05</v>
      </c>
      <c r="Q7" s="113">
        <v>0.05</v>
      </c>
      <c r="R7" s="114">
        <v>0.05</v>
      </c>
      <c r="S7" s="114">
        <v>0.05</v>
      </c>
      <c r="T7" s="114">
        <v>0.05</v>
      </c>
      <c r="U7" s="114">
        <v>0.05</v>
      </c>
      <c r="V7" s="114">
        <v>0.05</v>
      </c>
      <c r="W7" s="114">
        <v>0.05</v>
      </c>
      <c r="X7" s="114">
        <v>0.05</v>
      </c>
      <c r="Y7" s="114">
        <v>0.05</v>
      </c>
      <c r="Z7" s="114">
        <v>0.05</v>
      </c>
      <c r="AA7" s="114">
        <v>0.05</v>
      </c>
      <c r="AB7" s="115">
        <v>0.05</v>
      </c>
      <c r="AC7" s="114">
        <v>0.05</v>
      </c>
      <c r="AD7" s="114">
        <v>0.05</v>
      </c>
      <c r="AE7" s="115">
        <v>0.05</v>
      </c>
    </row>
    <row r="8" spans="2:31" ht="15" thickBot="1" x14ac:dyDescent="0.35">
      <c r="B8" s="102" t="s">
        <v>5</v>
      </c>
      <c r="C8" s="20" t="str">
        <f t="shared" si="0"/>
        <v>Wind</v>
      </c>
      <c r="D8" s="20" t="s">
        <v>2</v>
      </c>
      <c r="E8" s="118">
        <v>0.05</v>
      </c>
      <c r="F8" s="119">
        <v>0.05</v>
      </c>
      <c r="G8" s="119">
        <v>0.1</v>
      </c>
      <c r="H8" s="119">
        <v>0.1</v>
      </c>
      <c r="I8" s="119">
        <v>0.15</v>
      </c>
      <c r="J8" s="122">
        <v>0.15</v>
      </c>
      <c r="K8" s="125">
        <v>0.25</v>
      </c>
      <c r="L8" s="121">
        <v>0.25</v>
      </c>
      <c r="M8" s="121">
        <v>0.25</v>
      </c>
      <c r="N8" s="121">
        <v>0.25</v>
      </c>
      <c r="O8" s="121">
        <v>0.25</v>
      </c>
      <c r="P8" s="122">
        <v>0.25</v>
      </c>
      <c r="Q8" s="125">
        <v>0.25</v>
      </c>
      <c r="R8" s="121">
        <v>0.25</v>
      </c>
      <c r="S8" s="121">
        <v>0.25</v>
      </c>
      <c r="T8" s="121">
        <v>0.25</v>
      </c>
      <c r="U8" s="121">
        <v>0.25</v>
      </c>
      <c r="V8" s="121">
        <v>0.25</v>
      </c>
      <c r="W8" s="121">
        <v>0.25</v>
      </c>
      <c r="X8" s="121">
        <v>0.25</v>
      </c>
      <c r="Y8" s="121">
        <v>0.25</v>
      </c>
      <c r="Z8" s="121">
        <v>0.25</v>
      </c>
      <c r="AA8" s="121">
        <v>0.25</v>
      </c>
      <c r="AB8" s="122">
        <v>0.25</v>
      </c>
      <c r="AC8" s="121">
        <v>0.25</v>
      </c>
      <c r="AD8" s="121">
        <v>0.25</v>
      </c>
      <c r="AE8" s="122">
        <v>0.25</v>
      </c>
    </row>
    <row r="9" spans="2:31" x14ac:dyDescent="0.3">
      <c r="B9" s="101" t="s">
        <v>132</v>
      </c>
      <c r="C9" s="98" t="str">
        <f t="shared" si="0"/>
        <v>Wind</v>
      </c>
      <c r="D9" s="98" t="s">
        <v>6</v>
      </c>
      <c r="E9" s="113">
        <v>0.05</v>
      </c>
      <c r="F9" s="114">
        <v>0.05</v>
      </c>
      <c r="G9" s="114">
        <v>0.05</v>
      </c>
      <c r="H9" s="114">
        <v>0.05</v>
      </c>
      <c r="I9" s="114">
        <v>0.05</v>
      </c>
      <c r="J9" s="115">
        <v>0.05</v>
      </c>
      <c r="K9" s="124">
        <v>0.1</v>
      </c>
      <c r="L9" s="116">
        <v>0.1</v>
      </c>
      <c r="M9" s="116">
        <v>0.1</v>
      </c>
      <c r="N9" s="116">
        <v>0.1</v>
      </c>
      <c r="O9" s="116">
        <v>0.1</v>
      </c>
      <c r="P9" s="117">
        <v>0.1</v>
      </c>
      <c r="Q9" s="124">
        <v>0.1</v>
      </c>
      <c r="R9" s="116">
        <v>0.1</v>
      </c>
      <c r="S9" s="116">
        <v>0.1</v>
      </c>
      <c r="T9" s="116">
        <v>0.1</v>
      </c>
      <c r="U9" s="116">
        <v>0.1</v>
      </c>
      <c r="V9" s="116">
        <v>0.1</v>
      </c>
      <c r="W9" s="116">
        <v>0.1</v>
      </c>
      <c r="X9" s="116">
        <v>0.1</v>
      </c>
      <c r="Y9" s="116">
        <v>0.1</v>
      </c>
      <c r="Z9" s="116">
        <v>0.1</v>
      </c>
      <c r="AA9" s="116">
        <v>0.1</v>
      </c>
      <c r="AB9" s="117">
        <v>0.1</v>
      </c>
      <c r="AC9" s="114">
        <v>0.05</v>
      </c>
      <c r="AD9" s="114">
        <v>0.05</v>
      </c>
      <c r="AE9" s="114">
        <v>0</v>
      </c>
    </row>
    <row r="10" spans="2:31" x14ac:dyDescent="0.3">
      <c r="B10" s="102" t="s">
        <v>163</v>
      </c>
      <c r="C10" s="3" t="str">
        <f t="shared" si="0"/>
        <v>Wind</v>
      </c>
      <c r="D10" s="3" t="s">
        <v>6</v>
      </c>
      <c r="E10" s="113">
        <v>0.05</v>
      </c>
      <c r="F10" s="114">
        <v>0.05</v>
      </c>
      <c r="G10" s="114">
        <v>0.05</v>
      </c>
      <c r="H10" s="114">
        <v>0.05</v>
      </c>
      <c r="I10" s="114">
        <v>0.05</v>
      </c>
      <c r="J10" s="115">
        <v>0.05</v>
      </c>
      <c r="K10" s="124">
        <v>0.1</v>
      </c>
      <c r="L10" s="116">
        <v>0.1</v>
      </c>
      <c r="M10" s="116">
        <v>0.1</v>
      </c>
      <c r="N10" s="116">
        <v>0.1</v>
      </c>
      <c r="O10" s="116">
        <v>0.1</v>
      </c>
      <c r="P10" s="117">
        <v>0.1</v>
      </c>
      <c r="Q10" s="124">
        <v>0.1</v>
      </c>
      <c r="R10" s="116">
        <v>0.1</v>
      </c>
      <c r="S10" s="116">
        <v>0.1</v>
      </c>
      <c r="T10" s="116">
        <v>0.1</v>
      </c>
      <c r="U10" s="116">
        <v>0.1</v>
      </c>
      <c r="V10" s="116">
        <v>0.1</v>
      </c>
      <c r="W10" s="116">
        <v>0.1</v>
      </c>
      <c r="X10" s="116">
        <v>0.1</v>
      </c>
      <c r="Y10" s="116">
        <v>0.1</v>
      </c>
      <c r="Z10" s="116">
        <v>0.1</v>
      </c>
      <c r="AA10" s="116">
        <v>0.1</v>
      </c>
      <c r="AB10" s="117">
        <v>0.1</v>
      </c>
      <c r="AC10" s="114">
        <v>0.05</v>
      </c>
      <c r="AD10" s="114">
        <v>0.05</v>
      </c>
      <c r="AE10" s="114">
        <v>0</v>
      </c>
    </row>
    <row r="11" spans="2:31" x14ac:dyDescent="0.3">
      <c r="B11" s="102" t="s">
        <v>164</v>
      </c>
      <c r="C11" s="3" t="str">
        <f t="shared" si="0"/>
        <v>Wind</v>
      </c>
      <c r="D11" s="3" t="s">
        <v>6</v>
      </c>
      <c r="E11" s="113">
        <v>0.05</v>
      </c>
      <c r="F11" s="114">
        <v>0.05</v>
      </c>
      <c r="G11" s="114">
        <v>0.05</v>
      </c>
      <c r="H11" s="114">
        <v>0.05</v>
      </c>
      <c r="I11" s="114">
        <v>0.05</v>
      </c>
      <c r="J11" s="115">
        <v>0.05</v>
      </c>
      <c r="K11" s="124">
        <v>0.1</v>
      </c>
      <c r="L11" s="116">
        <v>0.1</v>
      </c>
      <c r="M11" s="116">
        <v>0.1</v>
      </c>
      <c r="N11" s="116">
        <v>0.1</v>
      </c>
      <c r="O11" s="116">
        <v>0.1</v>
      </c>
      <c r="P11" s="117">
        <v>0.1</v>
      </c>
      <c r="Q11" s="124">
        <v>0.1</v>
      </c>
      <c r="R11" s="116">
        <v>0.1</v>
      </c>
      <c r="S11" s="116">
        <v>0.1</v>
      </c>
      <c r="T11" s="116">
        <v>0.1</v>
      </c>
      <c r="U11" s="116">
        <v>0.1</v>
      </c>
      <c r="V11" s="116">
        <v>0.1</v>
      </c>
      <c r="W11" s="116">
        <v>0.1</v>
      </c>
      <c r="X11" s="116">
        <v>0.1</v>
      </c>
      <c r="Y11" s="116">
        <v>0.1</v>
      </c>
      <c r="Z11" s="116">
        <v>0.1</v>
      </c>
      <c r="AA11" s="116">
        <v>0.1</v>
      </c>
      <c r="AB11" s="117">
        <v>0.1</v>
      </c>
      <c r="AC11" s="114">
        <v>0.05</v>
      </c>
      <c r="AD11" s="114">
        <v>0.05</v>
      </c>
      <c r="AE11" s="114">
        <v>0</v>
      </c>
    </row>
    <row r="12" spans="2:31" x14ac:dyDescent="0.3">
      <c r="B12" s="102" t="s">
        <v>120</v>
      </c>
      <c r="C12" s="3" t="str">
        <f t="shared" si="0"/>
        <v>Wind</v>
      </c>
      <c r="D12" s="3" t="s">
        <v>6</v>
      </c>
      <c r="E12" s="113">
        <v>0.05</v>
      </c>
      <c r="F12" s="114">
        <v>0.05</v>
      </c>
      <c r="G12" s="114">
        <v>0.05</v>
      </c>
      <c r="H12" s="114">
        <v>0.05</v>
      </c>
      <c r="I12" s="114">
        <v>0.05</v>
      </c>
      <c r="J12" s="115">
        <v>0.05</v>
      </c>
      <c r="K12" s="124">
        <v>0.1</v>
      </c>
      <c r="L12" s="116">
        <v>0.1</v>
      </c>
      <c r="M12" s="116">
        <v>0.1</v>
      </c>
      <c r="N12" s="116">
        <v>0.1</v>
      </c>
      <c r="O12" s="116">
        <v>0.1</v>
      </c>
      <c r="P12" s="117">
        <v>0.1</v>
      </c>
      <c r="Q12" s="124">
        <v>0.1</v>
      </c>
      <c r="R12" s="116">
        <v>0.1</v>
      </c>
      <c r="S12" s="116">
        <v>0.1</v>
      </c>
      <c r="T12" s="116">
        <v>0.1</v>
      </c>
      <c r="U12" s="116">
        <v>0.1</v>
      </c>
      <c r="V12" s="116">
        <v>0.1</v>
      </c>
      <c r="W12" s="116">
        <v>0.1</v>
      </c>
      <c r="X12" s="116">
        <v>0.1</v>
      </c>
      <c r="Y12" s="116">
        <v>0.1</v>
      </c>
      <c r="Z12" s="116">
        <v>0.1</v>
      </c>
      <c r="AA12" s="116">
        <v>0.1</v>
      </c>
      <c r="AB12" s="117">
        <v>0.1</v>
      </c>
      <c r="AC12" s="114">
        <v>0.05</v>
      </c>
      <c r="AD12" s="114">
        <v>0.05</v>
      </c>
      <c r="AE12" s="114">
        <v>0</v>
      </c>
    </row>
    <row r="13" spans="2:31" ht="15" thickBot="1" x14ac:dyDescent="0.35">
      <c r="B13" s="106" t="s">
        <v>162</v>
      </c>
      <c r="C13" s="20" t="str">
        <f t="shared" si="0"/>
        <v>Wind</v>
      </c>
      <c r="D13" s="20" t="s">
        <v>6</v>
      </c>
      <c r="E13" s="113">
        <v>0.05</v>
      </c>
      <c r="F13" s="114">
        <v>0.05</v>
      </c>
      <c r="G13" s="114">
        <v>0.05</v>
      </c>
      <c r="H13" s="114">
        <v>0.05</v>
      </c>
      <c r="I13" s="114">
        <v>0.05</v>
      </c>
      <c r="J13" s="115">
        <v>0.05</v>
      </c>
      <c r="K13" s="124">
        <v>0.1</v>
      </c>
      <c r="L13" s="116">
        <v>0.1</v>
      </c>
      <c r="M13" s="116">
        <v>0.1</v>
      </c>
      <c r="N13" s="116">
        <v>0.1</v>
      </c>
      <c r="O13" s="116">
        <v>0.1</v>
      </c>
      <c r="P13" s="117">
        <v>0.1</v>
      </c>
      <c r="Q13" s="124">
        <v>0.1</v>
      </c>
      <c r="R13" s="116">
        <v>0.1</v>
      </c>
      <c r="S13" s="116">
        <v>0.1</v>
      </c>
      <c r="T13" s="116">
        <v>0.1</v>
      </c>
      <c r="U13" s="116">
        <v>0.1</v>
      </c>
      <c r="V13" s="116">
        <v>0.1</v>
      </c>
      <c r="W13" s="116">
        <v>0.1</v>
      </c>
      <c r="X13" s="116">
        <v>0.1</v>
      </c>
      <c r="Y13" s="116">
        <v>0.1</v>
      </c>
      <c r="Z13" s="116">
        <v>0.1</v>
      </c>
      <c r="AA13" s="116">
        <v>0.1</v>
      </c>
      <c r="AB13" s="117">
        <v>0.1</v>
      </c>
      <c r="AC13" s="114">
        <v>0.05</v>
      </c>
      <c r="AD13" s="114">
        <v>0.05</v>
      </c>
      <c r="AE13" s="114">
        <v>0</v>
      </c>
    </row>
    <row r="14" spans="2:31" x14ac:dyDescent="0.3">
      <c r="B14" s="103" t="s">
        <v>9</v>
      </c>
      <c r="C14" s="98" t="str">
        <f t="shared" si="0"/>
        <v>Wind</v>
      </c>
      <c r="D14" s="98" t="s">
        <v>8</v>
      </c>
      <c r="E14" s="108">
        <v>0</v>
      </c>
      <c r="F14" s="109">
        <v>0</v>
      </c>
      <c r="G14" s="109">
        <v>0</v>
      </c>
      <c r="H14" s="109">
        <v>0.25</v>
      </c>
      <c r="I14" s="109">
        <v>0.25</v>
      </c>
      <c r="J14" s="112">
        <v>0.25</v>
      </c>
      <c r="K14" s="108">
        <v>0.5</v>
      </c>
      <c r="L14" s="109">
        <v>0.5</v>
      </c>
      <c r="M14" s="109">
        <v>0.5</v>
      </c>
      <c r="N14" s="109">
        <v>0.75</v>
      </c>
      <c r="O14" s="109">
        <v>0.75</v>
      </c>
      <c r="P14" s="109">
        <v>0.75</v>
      </c>
      <c r="Q14" s="108">
        <v>0.75</v>
      </c>
      <c r="R14" s="109">
        <v>0.75</v>
      </c>
      <c r="S14" s="109">
        <v>0.75</v>
      </c>
      <c r="T14" s="109">
        <v>0.75</v>
      </c>
      <c r="U14" s="109">
        <v>0.75</v>
      </c>
      <c r="V14" s="109">
        <v>0.75</v>
      </c>
      <c r="W14" s="109">
        <v>0.75</v>
      </c>
      <c r="X14" s="109">
        <v>0.75</v>
      </c>
      <c r="Y14" s="109">
        <v>0.75</v>
      </c>
      <c r="Z14" s="109">
        <v>0.75</v>
      </c>
      <c r="AA14" s="109">
        <v>0.75</v>
      </c>
      <c r="AB14" s="110">
        <v>0.75</v>
      </c>
      <c r="AC14" s="108">
        <v>0.5</v>
      </c>
      <c r="AD14" s="109">
        <v>0.4</v>
      </c>
      <c r="AE14" s="110">
        <v>0.25</v>
      </c>
    </row>
    <row r="15" spans="2:31" ht="15" thickBot="1" x14ac:dyDescent="0.35">
      <c r="B15" s="105" t="s">
        <v>10</v>
      </c>
      <c r="C15" s="20" t="str">
        <f t="shared" si="0"/>
        <v>Wind</v>
      </c>
      <c r="D15" s="20" t="s">
        <v>8</v>
      </c>
      <c r="E15" s="173">
        <v>0</v>
      </c>
      <c r="F15" s="174">
        <v>0</v>
      </c>
      <c r="G15" s="174">
        <v>0</v>
      </c>
      <c r="H15" s="174">
        <v>0</v>
      </c>
      <c r="I15" s="174">
        <v>0</v>
      </c>
      <c r="J15" s="122">
        <v>0</v>
      </c>
      <c r="K15" s="173">
        <v>0</v>
      </c>
      <c r="L15" s="174">
        <v>0</v>
      </c>
      <c r="M15" s="174">
        <v>0</v>
      </c>
      <c r="N15" s="174">
        <v>0</v>
      </c>
      <c r="O15" s="174">
        <v>0</v>
      </c>
      <c r="P15" s="174">
        <v>0</v>
      </c>
      <c r="Q15" s="173">
        <v>0.5</v>
      </c>
      <c r="R15" s="174">
        <v>0.5</v>
      </c>
      <c r="S15" s="174">
        <v>0.5</v>
      </c>
      <c r="T15" s="174">
        <v>0.5</v>
      </c>
      <c r="U15" s="174">
        <v>0.5</v>
      </c>
      <c r="V15" s="174">
        <v>0.5</v>
      </c>
      <c r="W15" s="174">
        <v>0.5</v>
      </c>
      <c r="X15" s="174">
        <v>0.5</v>
      </c>
      <c r="Y15" s="174">
        <v>0.5</v>
      </c>
      <c r="Z15" s="174">
        <v>0.5</v>
      </c>
      <c r="AA15" s="174">
        <v>0.5</v>
      </c>
      <c r="AB15" s="175">
        <v>0.5</v>
      </c>
      <c r="AC15" s="173">
        <v>0.25</v>
      </c>
      <c r="AD15" s="174">
        <v>0.15</v>
      </c>
      <c r="AE15" s="175">
        <v>0</v>
      </c>
    </row>
    <row r="16" spans="2:31" x14ac:dyDescent="0.3">
      <c r="B16" s="102" t="s">
        <v>13</v>
      </c>
      <c r="C16" s="3" t="str">
        <f t="shared" si="0"/>
        <v>Wind</v>
      </c>
      <c r="D16" s="3" t="s">
        <v>12</v>
      </c>
      <c r="E16" s="113">
        <v>0.1</v>
      </c>
      <c r="F16" s="114">
        <v>0.1</v>
      </c>
      <c r="G16" s="114">
        <v>0.1</v>
      </c>
      <c r="H16" s="114">
        <v>0.1</v>
      </c>
      <c r="I16" s="114">
        <v>0.1</v>
      </c>
      <c r="J16" s="117">
        <v>0.1</v>
      </c>
      <c r="K16" s="114">
        <v>0.1</v>
      </c>
      <c r="L16" s="114">
        <v>0.1</v>
      </c>
      <c r="M16" s="114">
        <v>0.1</v>
      </c>
      <c r="N16" s="114">
        <v>0.1</v>
      </c>
      <c r="O16" s="114">
        <v>0.1</v>
      </c>
      <c r="P16" s="114">
        <v>0.1</v>
      </c>
      <c r="Q16" s="113">
        <v>0.1</v>
      </c>
      <c r="R16" s="114">
        <v>0.1</v>
      </c>
      <c r="S16" s="114">
        <v>0.1</v>
      </c>
      <c r="T16" s="114">
        <v>0.1</v>
      </c>
      <c r="U16" s="114">
        <v>0.1</v>
      </c>
      <c r="V16" s="114">
        <v>0.1</v>
      </c>
      <c r="W16" s="114">
        <v>0.1</v>
      </c>
      <c r="X16" s="114">
        <v>0.1</v>
      </c>
      <c r="Y16" s="114">
        <v>0.1</v>
      </c>
      <c r="Z16" s="114">
        <v>0.1</v>
      </c>
      <c r="AA16" s="114">
        <v>0.1</v>
      </c>
      <c r="AB16" s="115">
        <v>0.1</v>
      </c>
      <c r="AC16" s="113">
        <v>0.1</v>
      </c>
      <c r="AD16" s="114">
        <v>0.1</v>
      </c>
      <c r="AE16" s="115">
        <v>0.1</v>
      </c>
    </row>
    <row r="17" spans="2:31" x14ac:dyDescent="0.3">
      <c r="B17" s="102" t="s">
        <v>14</v>
      </c>
      <c r="C17" s="3" t="str">
        <f t="shared" si="0"/>
        <v>Wind</v>
      </c>
      <c r="D17" s="3" t="s">
        <v>12</v>
      </c>
      <c r="E17" s="113">
        <v>0.05</v>
      </c>
      <c r="F17" s="114">
        <v>0.05</v>
      </c>
      <c r="G17" s="114">
        <v>0.05</v>
      </c>
      <c r="H17" s="114">
        <v>0.05</v>
      </c>
      <c r="I17" s="114">
        <v>0.05</v>
      </c>
      <c r="J17" s="117">
        <v>0.05</v>
      </c>
      <c r="K17" s="114">
        <v>0.05</v>
      </c>
      <c r="L17" s="114">
        <v>0.05</v>
      </c>
      <c r="M17" s="114">
        <v>0.05</v>
      </c>
      <c r="N17" s="114">
        <v>0.05</v>
      </c>
      <c r="O17" s="114">
        <v>0.05</v>
      </c>
      <c r="P17" s="114">
        <v>0.05</v>
      </c>
      <c r="Q17" s="113">
        <v>0.05</v>
      </c>
      <c r="R17" s="114">
        <v>0.05</v>
      </c>
      <c r="S17" s="114">
        <v>0.05</v>
      </c>
      <c r="T17" s="114">
        <v>0.05</v>
      </c>
      <c r="U17" s="114">
        <v>0.05</v>
      </c>
      <c r="V17" s="114">
        <v>0.05</v>
      </c>
      <c r="W17" s="114">
        <v>0.05</v>
      </c>
      <c r="X17" s="114">
        <v>0.05</v>
      </c>
      <c r="Y17" s="114">
        <v>0.05</v>
      </c>
      <c r="Z17" s="114">
        <v>0.05</v>
      </c>
      <c r="AA17" s="114">
        <v>0.05</v>
      </c>
      <c r="AB17" s="115">
        <v>0.05</v>
      </c>
      <c r="AC17" s="113">
        <v>0.05</v>
      </c>
      <c r="AD17" s="114">
        <v>0</v>
      </c>
      <c r="AE17" s="115">
        <v>0</v>
      </c>
    </row>
    <row r="18" spans="2:31" x14ac:dyDescent="0.3">
      <c r="B18" s="102" t="s">
        <v>15</v>
      </c>
      <c r="C18" s="3" t="str">
        <f t="shared" si="0"/>
        <v>Wind</v>
      </c>
      <c r="D18" s="3" t="s">
        <v>12</v>
      </c>
      <c r="E18" s="113">
        <v>0.15</v>
      </c>
      <c r="F18" s="114">
        <v>0.15</v>
      </c>
      <c r="G18" s="114">
        <v>0.15</v>
      </c>
      <c r="H18" s="114">
        <v>0.15</v>
      </c>
      <c r="I18" s="114">
        <v>0.15</v>
      </c>
      <c r="J18" s="117">
        <v>0.15</v>
      </c>
      <c r="K18" s="114">
        <v>0.15</v>
      </c>
      <c r="L18" s="114">
        <v>0.15</v>
      </c>
      <c r="M18" s="114">
        <v>0.15</v>
      </c>
      <c r="N18" s="114">
        <v>0.15</v>
      </c>
      <c r="O18" s="114">
        <v>0.15</v>
      </c>
      <c r="P18" s="114">
        <v>0.15</v>
      </c>
      <c r="Q18" s="113">
        <v>0.15</v>
      </c>
      <c r="R18" s="114">
        <v>0.15</v>
      </c>
      <c r="S18" s="114">
        <v>0.15</v>
      </c>
      <c r="T18" s="114">
        <v>0.15</v>
      </c>
      <c r="U18" s="114">
        <v>0.15</v>
      </c>
      <c r="V18" s="114">
        <v>0.15</v>
      </c>
      <c r="W18" s="114">
        <v>0.15</v>
      </c>
      <c r="X18" s="114">
        <v>0.15</v>
      </c>
      <c r="Y18" s="114">
        <v>0.15</v>
      </c>
      <c r="Z18" s="114">
        <v>0.15</v>
      </c>
      <c r="AA18" s="114">
        <v>0.15</v>
      </c>
      <c r="AB18" s="115">
        <v>0.15</v>
      </c>
      <c r="AC18" s="113">
        <v>0.15</v>
      </c>
      <c r="AD18" s="114">
        <v>0.15</v>
      </c>
      <c r="AE18" s="115">
        <v>0.15</v>
      </c>
    </row>
    <row r="19" spans="2:31" x14ac:dyDescent="0.3">
      <c r="B19" s="102" t="s">
        <v>16</v>
      </c>
      <c r="C19" s="3" t="str">
        <f t="shared" si="0"/>
        <v>Wind</v>
      </c>
      <c r="D19" s="3" t="s">
        <v>12</v>
      </c>
      <c r="E19" s="113">
        <v>0.1</v>
      </c>
      <c r="F19" s="114">
        <v>0.1</v>
      </c>
      <c r="G19" s="114">
        <v>0.1</v>
      </c>
      <c r="H19" s="114">
        <v>0.1</v>
      </c>
      <c r="I19" s="114">
        <v>0.1</v>
      </c>
      <c r="J19" s="115">
        <v>0.1</v>
      </c>
      <c r="K19" s="114">
        <v>0.1</v>
      </c>
      <c r="L19" s="114">
        <v>0.1</v>
      </c>
      <c r="M19" s="114">
        <v>0.1</v>
      </c>
      <c r="N19" s="114">
        <v>0.1</v>
      </c>
      <c r="O19" s="114">
        <v>0.1</v>
      </c>
      <c r="P19" s="114">
        <v>0.1</v>
      </c>
      <c r="Q19" s="113">
        <v>0.1</v>
      </c>
      <c r="R19" s="114">
        <v>0.1</v>
      </c>
      <c r="S19" s="114">
        <v>0.1</v>
      </c>
      <c r="T19" s="114">
        <v>0.1</v>
      </c>
      <c r="U19" s="114">
        <v>0.1</v>
      </c>
      <c r="V19" s="114">
        <v>0.1</v>
      </c>
      <c r="W19" s="114">
        <v>0.1</v>
      </c>
      <c r="X19" s="114">
        <v>0.1</v>
      </c>
      <c r="Y19" s="114">
        <v>0.1</v>
      </c>
      <c r="Z19" s="114">
        <v>0.1</v>
      </c>
      <c r="AA19" s="114">
        <v>0.1</v>
      </c>
      <c r="AB19" s="115">
        <v>0.1</v>
      </c>
      <c r="AC19" s="113">
        <v>0.1</v>
      </c>
      <c r="AD19" s="114">
        <v>0.1</v>
      </c>
      <c r="AE19" s="115">
        <v>0.1</v>
      </c>
    </row>
    <row r="20" spans="2:31" ht="15" thickBot="1" x14ac:dyDescent="0.35">
      <c r="B20" s="102" t="s">
        <v>18</v>
      </c>
      <c r="C20" s="3" t="str">
        <f t="shared" si="0"/>
        <v>Wind</v>
      </c>
      <c r="D20" s="3" t="s">
        <v>12</v>
      </c>
      <c r="E20" s="118">
        <v>0.1</v>
      </c>
      <c r="F20" s="119">
        <v>0.1</v>
      </c>
      <c r="G20" s="119">
        <v>0.1</v>
      </c>
      <c r="H20" s="119">
        <v>0.1</v>
      </c>
      <c r="I20" s="119">
        <v>0.1</v>
      </c>
      <c r="J20" s="120">
        <v>0.1</v>
      </c>
      <c r="K20" s="114">
        <v>0.1</v>
      </c>
      <c r="L20" s="114">
        <v>0.1</v>
      </c>
      <c r="M20" s="114">
        <v>0.1</v>
      </c>
      <c r="N20" s="114">
        <v>0.1</v>
      </c>
      <c r="O20" s="114">
        <v>0.1</v>
      </c>
      <c r="P20" s="114">
        <v>0.1</v>
      </c>
      <c r="Q20" s="118">
        <v>0.1</v>
      </c>
      <c r="R20" s="119">
        <v>0.1</v>
      </c>
      <c r="S20" s="119">
        <v>0.1</v>
      </c>
      <c r="T20" s="119">
        <v>0.1</v>
      </c>
      <c r="U20" s="119">
        <v>0.1</v>
      </c>
      <c r="V20" s="119">
        <v>0.1</v>
      </c>
      <c r="W20" s="119">
        <v>0.1</v>
      </c>
      <c r="X20" s="119">
        <v>0.1</v>
      </c>
      <c r="Y20" s="119">
        <v>0.1</v>
      </c>
      <c r="Z20" s="119">
        <v>0.1</v>
      </c>
      <c r="AA20" s="119">
        <v>0.1</v>
      </c>
      <c r="AB20" s="120">
        <v>0.1</v>
      </c>
      <c r="AC20" s="113">
        <v>0.1</v>
      </c>
      <c r="AD20" s="114">
        <v>0.1</v>
      </c>
      <c r="AE20" s="115">
        <v>0.1</v>
      </c>
    </row>
    <row r="21" spans="2:31" x14ac:dyDescent="0.3">
      <c r="B21"/>
      <c r="C21" s="38"/>
      <c r="D21" s="38"/>
    </row>
    <row r="22" spans="2:31" x14ac:dyDescent="0.3">
      <c r="B22" s="6"/>
      <c r="C22" s="6"/>
      <c r="D22" s="18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</row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AD652A-8DD7-41A0-AAA0-932E954CF2DC}">
          <x14:formula1>
            <xm:f>'Duration Table'!$C$7:$C$17</xm:f>
          </x14:formula1>
          <xm:sqref>C2:J2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ECF7-4558-4AFB-9CDF-5FDCC4DD7C63}">
  <sheetPr>
    <tabColor rgb="FF0070C0"/>
  </sheetPr>
  <dimension ref="B1:AE52"/>
  <sheetViews>
    <sheetView zoomScaleNormal="100" zoomScaleSheetLayoutView="100" workbookViewId="0">
      <selection activeCell="R1" sqref="R1"/>
    </sheetView>
  </sheetViews>
  <sheetFormatPr defaultColWidth="9.109375" defaultRowHeight="14.4" x14ac:dyDescent="0.3"/>
  <cols>
    <col min="1" max="1" width="3.5546875" style="5" customWidth="1"/>
    <col min="2" max="2" width="39.44140625" style="5" customWidth="1"/>
    <col min="3" max="3" width="26.33203125" style="5" customWidth="1"/>
    <col min="4" max="4" width="23.109375" style="5" customWidth="1"/>
    <col min="5" max="10" width="6.5546875" style="5" bestFit="1" customWidth="1"/>
    <col min="11" max="28" width="6" style="5" bestFit="1" customWidth="1"/>
    <col min="29" max="31" width="5.44140625" style="5" customWidth="1"/>
    <col min="32" max="16384" width="9.109375" style="5"/>
  </cols>
  <sheetData>
    <row r="1" spans="2:31" ht="139.94999999999999" customHeight="1" thickBot="1" x14ac:dyDescent="0.35"/>
    <row r="2" spans="2:31" ht="24" thickBot="1" x14ac:dyDescent="0.5">
      <c r="B2" s="172" t="s">
        <v>148</v>
      </c>
      <c r="C2" s="177" t="s">
        <v>30</v>
      </c>
      <c r="D2" s="178"/>
      <c r="E2" s="178"/>
      <c r="F2" s="178"/>
      <c r="G2" s="178"/>
      <c r="H2" s="178"/>
      <c r="I2" s="178"/>
      <c r="J2" s="179"/>
    </row>
    <row r="3" spans="2:31" ht="15" thickBot="1" x14ac:dyDescent="0.35"/>
    <row r="4" spans="2:31" ht="16.2" thickBot="1" x14ac:dyDescent="0.35">
      <c r="B4" s="99" t="s">
        <v>73</v>
      </c>
      <c r="C4" s="73" t="s">
        <v>123</v>
      </c>
      <c r="D4" s="126" t="s">
        <v>64</v>
      </c>
      <c r="E4" s="180" t="s">
        <v>25</v>
      </c>
      <c r="F4" s="181"/>
      <c r="G4" s="181"/>
      <c r="H4" s="181"/>
      <c r="I4" s="181"/>
      <c r="J4" s="182"/>
      <c r="K4" s="183" t="s">
        <v>0</v>
      </c>
      <c r="L4" s="184"/>
      <c r="M4" s="184"/>
      <c r="N4" s="184"/>
      <c r="O4" s="184"/>
      <c r="P4" s="185"/>
      <c r="Q4" s="186" t="s">
        <v>1</v>
      </c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8"/>
      <c r="AC4" s="189" t="s">
        <v>26</v>
      </c>
      <c r="AD4" s="190"/>
      <c r="AE4" s="191"/>
    </row>
    <row r="5" spans="2:31" ht="15" hidden="1" thickBot="1" x14ac:dyDescent="0.35">
      <c r="B5" s="6" t="s">
        <v>114</v>
      </c>
      <c r="C5" s="43" t="s">
        <v>116</v>
      </c>
      <c r="D5" s="43" t="s">
        <v>117</v>
      </c>
      <c r="E5" s="3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4" t="s">
        <v>79</v>
      </c>
      <c r="K5" s="3" t="s">
        <v>80</v>
      </c>
      <c r="L5" s="38" t="s">
        <v>81</v>
      </c>
      <c r="M5" s="38" t="s">
        <v>82</v>
      </c>
      <c r="N5" s="38" t="s">
        <v>83</v>
      </c>
      <c r="O5" s="38" t="s">
        <v>84</v>
      </c>
      <c r="P5" s="4" t="s">
        <v>85</v>
      </c>
      <c r="Q5" s="3" t="s">
        <v>86</v>
      </c>
      <c r="R5" s="38" t="s">
        <v>87</v>
      </c>
      <c r="S5" s="38" t="s">
        <v>88</v>
      </c>
      <c r="T5" s="38" t="s">
        <v>89</v>
      </c>
      <c r="U5" s="38" t="s">
        <v>90</v>
      </c>
      <c r="V5" s="38" t="s">
        <v>91</v>
      </c>
      <c r="W5" s="38" t="s">
        <v>92</v>
      </c>
      <c r="X5" s="38" t="s">
        <v>93</v>
      </c>
      <c r="Y5" s="38" t="s">
        <v>94</v>
      </c>
      <c r="Z5" s="38" t="s">
        <v>95</v>
      </c>
      <c r="AA5" s="38" t="s">
        <v>96</v>
      </c>
      <c r="AB5" s="4" t="s">
        <v>97</v>
      </c>
      <c r="AC5" s="38" t="s">
        <v>98</v>
      </c>
      <c r="AD5" s="38" t="s">
        <v>99</v>
      </c>
      <c r="AE5" s="38" t="s">
        <v>100</v>
      </c>
    </row>
    <row r="6" spans="2:31" x14ac:dyDescent="0.3">
      <c r="B6" s="101" t="s">
        <v>3</v>
      </c>
      <c r="C6" s="98" t="str">
        <f>$C$2</f>
        <v>Hydro</v>
      </c>
      <c r="D6" s="98" t="s">
        <v>2</v>
      </c>
      <c r="E6" s="108">
        <v>0.25</v>
      </c>
      <c r="F6" s="109">
        <v>0.25</v>
      </c>
      <c r="G6" s="109">
        <v>0.25</v>
      </c>
      <c r="H6" s="109">
        <v>0.45</v>
      </c>
      <c r="I6" s="109">
        <v>0.45</v>
      </c>
      <c r="J6" s="112">
        <v>0.45</v>
      </c>
      <c r="K6" s="123">
        <v>0.65</v>
      </c>
      <c r="L6" s="111">
        <v>0.65</v>
      </c>
      <c r="M6" s="111">
        <v>0.65</v>
      </c>
      <c r="N6" s="111">
        <v>0.85</v>
      </c>
      <c r="O6" s="111">
        <v>0.85</v>
      </c>
      <c r="P6" s="112">
        <v>0.85</v>
      </c>
      <c r="Q6" s="123">
        <v>0.85</v>
      </c>
      <c r="R6" s="111">
        <v>0.85</v>
      </c>
      <c r="S6" s="111">
        <v>0.85</v>
      </c>
      <c r="T6" s="111">
        <v>0.85</v>
      </c>
      <c r="U6" s="111">
        <v>0.85</v>
      </c>
      <c r="V6" s="111">
        <v>0.85</v>
      </c>
      <c r="W6" s="111">
        <v>0.85</v>
      </c>
      <c r="X6" s="111">
        <v>0.85</v>
      </c>
      <c r="Y6" s="111">
        <v>0.85</v>
      </c>
      <c r="Z6" s="111">
        <v>0.85</v>
      </c>
      <c r="AA6" s="111">
        <v>0.85</v>
      </c>
      <c r="AB6" s="112">
        <v>0.85</v>
      </c>
      <c r="AC6" s="109">
        <v>0.5</v>
      </c>
      <c r="AD6" s="109">
        <v>0.4</v>
      </c>
      <c r="AE6" s="110">
        <v>0.25</v>
      </c>
    </row>
    <row r="7" spans="2:31" x14ac:dyDescent="0.3">
      <c r="B7" s="102" t="s">
        <v>4</v>
      </c>
      <c r="C7" s="3" t="str">
        <f t="shared" ref="C7:C22" si="0">$C$2</f>
        <v>Hydro</v>
      </c>
      <c r="D7" s="3" t="s">
        <v>2</v>
      </c>
      <c r="E7" s="113">
        <v>0.05</v>
      </c>
      <c r="F7" s="114">
        <v>0.05</v>
      </c>
      <c r="G7" s="114">
        <v>0.05</v>
      </c>
      <c r="H7" s="114">
        <v>0.05</v>
      </c>
      <c r="I7" s="114">
        <v>0.05</v>
      </c>
      <c r="J7" s="115">
        <v>0.05</v>
      </c>
      <c r="K7" s="113">
        <v>0.05</v>
      </c>
      <c r="L7" s="114">
        <v>0.05</v>
      </c>
      <c r="M7" s="114">
        <v>0.05</v>
      </c>
      <c r="N7" s="114">
        <v>0.05</v>
      </c>
      <c r="O7" s="114">
        <v>0.05</v>
      </c>
      <c r="P7" s="115">
        <v>0.05</v>
      </c>
      <c r="Q7" s="113">
        <v>0.05</v>
      </c>
      <c r="R7" s="114">
        <v>0.05</v>
      </c>
      <c r="S7" s="114">
        <v>0.05</v>
      </c>
      <c r="T7" s="114">
        <v>0.05</v>
      </c>
      <c r="U7" s="114">
        <v>0.05</v>
      </c>
      <c r="V7" s="114">
        <v>0.05</v>
      </c>
      <c r="W7" s="114">
        <v>0.05</v>
      </c>
      <c r="X7" s="114">
        <v>0.05</v>
      </c>
      <c r="Y7" s="114">
        <v>0.05</v>
      </c>
      <c r="Z7" s="114">
        <v>0.05</v>
      </c>
      <c r="AA7" s="114">
        <v>0.05</v>
      </c>
      <c r="AB7" s="115">
        <v>0.05</v>
      </c>
      <c r="AC7" s="114">
        <v>0.05</v>
      </c>
      <c r="AD7" s="114">
        <v>0.05</v>
      </c>
      <c r="AE7" s="115">
        <v>0.05</v>
      </c>
    </row>
    <row r="8" spans="2:31" ht="15" thickBot="1" x14ac:dyDescent="0.35">
      <c r="B8" s="106" t="s">
        <v>5</v>
      </c>
      <c r="C8" s="20" t="str">
        <f t="shared" si="0"/>
        <v>Hydro</v>
      </c>
      <c r="D8" s="20" t="s">
        <v>2</v>
      </c>
      <c r="E8" s="118">
        <v>0.05</v>
      </c>
      <c r="F8" s="119">
        <v>0.05</v>
      </c>
      <c r="G8" s="119">
        <v>0.1</v>
      </c>
      <c r="H8" s="119">
        <v>0.1</v>
      </c>
      <c r="I8" s="119">
        <v>0.15</v>
      </c>
      <c r="J8" s="122">
        <v>0.15</v>
      </c>
      <c r="K8" s="125">
        <v>0.25</v>
      </c>
      <c r="L8" s="121">
        <v>0.25</v>
      </c>
      <c r="M8" s="121">
        <v>0.25</v>
      </c>
      <c r="N8" s="121">
        <v>0.25</v>
      </c>
      <c r="O8" s="121">
        <v>0.25</v>
      </c>
      <c r="P8" s="122">
        <v>0.25</v>
      </c>
      <c r="Q8" s="125">
        <v>0.25</v>
      </c>
      <c r="R8" s="121">
        <v>0.25</v>
      </c>
      <c r="S8" s="121">
        <v>0.25</v>
      </c>
      <c r="T8" s="121">
        <v>0.25</v>
      </c>
      <c r="U8" s="121">
        <v>0.25</v>
      </c>
      <c r="V8" s="121">
        <v>0.25</v>
      </c>
      <c r="W8" s="121">
        <v>0.25</v>
      </c>
      <c r="X8" s="121">
        <v>0.25</v>
      </c>
      <c r="Y8" s="121">
        <v>0.25</v>
      </c>
      <c r="Z8" s="121">
        <v>0.25</v>
      </c>
      <c r="AA8" s="121">
        <v>0.25</v>
      </c>
      <c r="AB8" s="122">
        <v>0.25</v>
      </c>
      <c r="AC8" s="121">
        <v>0.25</v>
      </c>
      <c r="AD8" s="121">
        <v>0.25</v>
      </c>
      <c r="AE8" s="122">
        <v>0.25</v>
      </c>
    </row>
    <row r="9" spans="2:31" x14ac:dyDescent="0.3">
      <c r="B9" s="101" t="s">
        <v>165</v>
      </c>
      <c r="C9" s="98" t="str">
        <f t="shared" si="0"/>
        <v>Hydro</v>
      </c>
      <c r="D9" s="98" t="s">
        <v>130</v>
      </c>
      <c r="E9" s="113">
        <v>0.05</v>
      </c>
      <c r="F9" s="114">
        <v>0.05</v>
      </c>
      <c r="G9" s="114">
        <v>0.05</v>
      </c>
      <c r="H9" s="114">
        <v>0.05</v>
      </c>
      <c r="I9" s="114">
        <v>0.05</v>
      </c>
      <c r="J9" s="115">
        <v>0.05</v>
      </c>
      <c r="K9" s="124">
        <v>0.1</v>
      </c>
      <c r="L9" s="116">
        <v>0.1</v>
      </c>
      <c r="M9" s="116">
        <v>0.1</v>
      </c>
      <c r="N9" s="116">
        <v>0.1</v>
      </c>
      <c r="O9" s="116">
        <v>0.1</v>
      </c>
      <c r="P9" s="117">
        <v>0.1</v>
      </c>
      <c r="Q9" s="124">
        <v>0.1</v>
      </c>
      <c r="R9" s="116">
        <v>0.1</v>
      </c>
      <c r="S9" s="116">
        <v>0.1</v>
      </c>
      <c r="T9" s="116">
        <v>0.1</v>
      </c>
      <c r="U9" s="116">
        <v>0.1</v>
      </c>
      <c r="V9" s="116">
        <v>0.1</v>
      </c>
      <c r="W9" s="116">
        <v>0.1</v>
      </c>
      <c r="X9" s="116">
        <v>0.1</v>
      </c>
      <c r="Y9" s="116">
        <v>0.1</v>
      </c>
      <c r="Z9" s="116">
        <v>0.1</v>
      </c>
      <c r="AA9" s="116">
        <v>0.1</v>
      </c>
      <c r="AB9" s="117">
        <v>0.1</v>
      </c>
      <c r="AC9" s="114">
        <v>0.05</v>
      </c>
      <c r="AD9" s="114">
        <v>0.05</v>
      </c>
      <c r="AE9" s="114">
        <v>0</v>
      </c>
    </row>
    <row r="10" spans="2:31" x14ac:dyDescent="0.3">
      <c r="B10" s="102" t="s">
        <v>132</v>
      </c>
      <c r="C10" s="3" t="str">
        <f t="shared" si="0"/>
        <v>Hydro</v>
      </c>
      <c r="D10" s="3" t="s">
        <v>130</v>
      </c>
      <c r="E10" s="113">
        <v>0.05</v>
      </c>
      <c r="F10" s="114">
        <v>0.05</v>
      </c>
      <c r="G10" s="114">
        <v>0.05</v>
      </c>
      <c r="H10" s="114">
        <v>0.05</v>
      </c>
      <c r="I10" s="114">
        <v>0.05</v>
      </c>
      <c r="J10" s="115">
        <v>0.05</v>
      </c>
      <c r="K10" s="124">
        <v>0.1</v>
      </c>
      <c r="L10" s="116">
        <v>0.1</v>
      </c>
      <c r="M10" s="116">
        <v>0.1</v>
      </c>
      <c r="N10" s="116">
        <v>0.1</v>
      </c>
      <c r="O10" s="116">
        <v>0.1</v>
      </c>
      <c r="P10" s="117">
        <v>0.1</v>
      </c>
      <c r="Q10" s="124">
        <v>0.1</v>
      </c>
      <c r="R10" s="116">
        <v>0.1</v>
      </c>
      <c r="S10" s="116">
        <v>0.1</v>
      </c>
      <c r="T10" s="116">
        <v>0.1</v>
      </c>
      <c r="U10" s="116">
        <v>0.1</v>
      </c>
      <c r="V10" s="116">
        <v>0.1</v>
      </c>
      <c r="W10" s="116">
        <v>0.1</v>
      </c>
      <c r="X10" s="116">
        <v>0.1</v>
      </c>
      <c r="Y10" s="116">
        <v>0.1</v>
      </c>
      <c r="Z10" s="116">
        <v>0.1</v>
      </c>
      <c r="AA10" s="116">
        <v>0.1</v>
      </c>
      <c r="AB10" s="117">
        <v>0.1</v>
      </c>
      <c r="AC10" s="114">
        <v>0.05</v>
      </c>
      <c r="AD10" s="114">
        <v>0.05</v>
      </c>
      <c r="AE10" s="114">
        <v>0</v>
      </c>
    </row>
    <row r="11" spans="2:31" x14ac:dyDescent="0.3">
      <c r="B11" s="102" t="s">
        <v>166</v>
      </c>
      <c r="C11" s="3" t="str">
        <f t="shared" si="0"/>
        <v>Hydro</v>
      </c>
      <c r="D11" s="3" t="s">
        <v>130</v>
      </c>
      <c r="E11" s="113">
        <v>0.05</v>
      </c>
      <c r="F11" s="114">
        <v>0.05</v>
      </c>
      <c r="G11" s="114">
        <v>0.05</v>
      </c>
      <c r="H11" s="114">
        <v>0.05</v>
      </c>
      <c r="I11" s="114">
        <v>0.05</v>
      </c>
      <c r="J11" s="115">
        <v>0.05</v>
      </c>
      <c r="K11" s="124">
        <v>0.1</v>
      </c>
      <c r="L11" s="116">
        <v>0.1</v>
      </c>
      <c r="M11" s="116">
        <v>0.1</v>
      </c>
      <c r="N11" s="116">
        <v>0.1</v>
      </c>
      <c r="O11" s="116">
        <v>0.1</v>
      </c>
      <c r="P11" s="117">
        <v>0.1</v>
      </c>
      <c r="Q11" s="124">
        <v>0.1</v>
      </c>
      <c r="R11" s="116">
        <v>0.1</v>
      </c>
      <c r="S11" s="116">
        <v>0.1</v>
      </c>
      <c r="T11" s="116">
        <v>0.1</v>
      </c>
      <c r="U11" s="116">
        <v>0.1</v>
      </c>
      <c r="V11" s="116">
        <v>0.1</v>
      </c>
      <c r="W11" s="116">
        <v>0.1</v>
      </c>
      <c r="X11" s="116">
        <v>0.1</v>
      </c>
      <c r="Y11" s="116">
        <v>0.1</v>
      </c>
      <c r="Z11" s="116">
        <v>0.1</v>
      </c>
      <c r="AA11" s="116">
        <v>0.1</v>
      </c>
      <c r="AB11" s="117">
        <v>0.1</v>
      </c>
      <c r="AC11" s="114">
        <v>0.05</v>
      </c>
      <c r="AD11" s="114">
        <v>0.05</v>
      </c>
      <c r="AE11" s="114">
        <v>0</v>
      </c>
    </row>
    <row r="12" spans="2:31" x14ac:dyDescent="0.3">
      <c r="B12" s="102" t="s">
        <v>163</v>
      </c>
      <c r="C12" s="3" t="str">
        <f t="shared" si="0"/>
        <v>Hydro</v>
      </c>
      <c r="D12" s="3" t="s">
        <v>130</v>
      </c>
      <c r="E12" s="113">
        <v>0.05</v>
      </c>
      <c r="F12" s="114">
        <v>0.05</v>
      </c>
      <c r="G12" s="114">
        <v>0.05</v>
      </c>
      <c r="H12" s="114">
        <v>0.05</v>
      </c>
      <c r="I12" s="114">
        <v>0.05</v>
      </c>
      <c r="J12" s="115">
        <v>0.05</v>
      </c>
      <c r="K12" s="124">
        <v>0.1</v>
      </c>
      <c r="L12" s="116">
        <v>0.1</v>
      </c>
      <c r="M12" s="116">
        <v>0.1</v>
      </c>
      <c r="N12" s="116">
        <v>0.1</v>
      </c>
      <c r="O12" s="116">
        <v>0.1</v>
      </c>
      <c r="P12" s="117">
        <v>0.1</v>
      </c>
      <c r="Q12" s="124">
        <v>0.1</v>
      </c>
      <c r="R12" s="116">
        <v>0.1</v>
      </c>
      <c r="S12" s="116">
        <v>0.1</v>
      </c>
      <c r="T12" s="116">
        <v>0.1</v>
      </c>
      <c r="U12" s="116">
        <v>0.1</v>
      </c>
      <c r="V12" s="116">
        <v>0.1</v>
      </c>
      <c r="W12" s="116">
        <v>0.1</v>
      </c>
      <c r="X12" s="116">
        <v>0.1</v>
      </c>
      <c r="Y12" s="116">
        <v>0.1</v>
      </c>
      <c r="Z12" s="116">
        <v>0.1</v>
      </c>
      <c r="AA12" s="116">
        <v>0.1</v>
      </c>
      <c r="AB12" s="117">
        <v>0.1</v>
      </c>
      <c r="AC12" s="114">
        <v>0.05</v>
      </c>
      <c r="AD12" s="114">
        <v>0.05</v>
      </c>
      <c r="AE12" s="114">
        <v>0</v>
      </c>
    </row>
    <row r="13" spans="2:31" s="7" customFormat="1" x14ac:dyDescent="0.3">
      <c r="B13" s="102" t="s">
        <v>164</v>
      </c>
      <c r="C13" s="3" t="str">
        <f t="shared" si="0"/>
        <v>Hydro</v>
      </c>
      <c r="D13" s="3" t="s">
        <v>130</v>
      </c>
      <c r="E13" s="113">
        <v>0.05</v>
      </c>
      <c r="F13" s="114">
        <v>0.05</v>
      </c>
      <c r="G13" s="114">
        <v>0.05</v>
      </c>
      <c r="H13" s="114">
        <v>0.05</v>
      </c>
      <c r="I13" s="114">
        <v>0.05</v>
      </c>
      <c r="J13" s="115">
        <v>0.05</v>
      </c>
      <c r="K13" s="124">
        <v>0.1</v>
      </c>
      <c r="L13" s="116">
        <v>0.1</v>
      </c>
      <c r="M13" s="116">
        <v>0.1</v>
      </c>
      <c r="N13" s="116">
        <v>0.1</v>
      </c>
      <c r="O13" s="116">
        <v>0.1</v>
      </c>
      <c r="P13" s="117">
        <v>0.1</v>
      </c>
      <c r="Q13" s="124">
        <v>0.1</v>
      </c>
      <c r="R13" s="116">
        <v>0.1</v>
      </c>
      <c r="S13" s="116">
        <v>0.1</v>
      </c>
      <c r="T13" s="116">
        <v>0.1</v>
      </c>
      <c r="U13" s="116">
        <v>0.1</v>
      </c>
      <c r="V13" s="116">
        <v>0.1</v>
      </c>
      <c r="W13" s="116">
        <v>0.1</v>
      </c>
      <c r="X13" s="116">
        <v>0.1</v>
      </c>
      <c r="Y13" s="116">
        <v>0.1</v>
      </c>
      <c r="Z13" s="116">
        <v>0.1</v>
      </c>
      <c r="AA13" s="116">
        <v>0.1</v>
      </c>
      <c r="AB13" s="117">
        <v>0.1</v>
      </c>
      <c r="AC13" s="114">
        <v>0.05</v>
      </c>
      <c r="AD13" s="114">
        <v>0.05</v>
      </c>
      <c r="AE13" s="114">
        <v>0</v>
      </c>
    </row>
    <row r="14" spans="2:31" x14ac:dyDescent="0.3">
      <c r="B14" s="102" t="s">
        <v>120</v>
      </c>
      <c r="C14" s="3" t="str">
        <f t="shared" si="0"/>
        <v>Hydro</v>
      </c>
      <c r="D14" s="3" t="s">
        <v>130</v>
      </c>
      <c r="E14" s="113">
        <v>0.05</v>
      </c>
      <c r="F14" s="114">
        <v>0.05</v>
      </c>
      <c r="G14" s="114">
        <v>0.05</v>
      </c>
      <c r="H14" s="114">
        <v>0.05</v>
      </c>
      <c r="I14" s="114">
        <v>0.05</v>
      </c>
      <c r="J14" s="115">
        <v>0.05</v>
      </c>
      <c r="K14" s="124">
        <v>0.1</v>
      </c>
      <c r="L14" s="116">
        <v>0.1</v>
      </c>
      <c r="M14" s="116">
        <v>0.1</v>
      </c>
      <c r="N14" s="116">
        <v>0.1</v>
      </c>
      <c r="O14" s="116">
        <v>0.1</v>
      </c>
      <c r="P14" s="117">
        <v>0.1</v>
      </c>
      <c r="Q14" s="124">
        <v>0.1</v>
      </c>
      <c r="R14" s="116">
        <v>0.1</v>
      </c>
      <c r="S14" s="116">
        <v>0.1</v>
      </c>
      <c r="T14" s="116">
        <v>0.1</v>
      </c>
      <c r="U14" s="116">
        <v>0.1</v>
      </c>
      <c r="V14" s="116">
        <v>0.1</v>
      </c>
      <c r="W14" s="116">
        <v>0.1</v>
      </c>
      <c r="X14" s="116">
        <v>0.1</v>
      </c>
      <c r="Y14" s="116">
        <v>0.1</v>
      </c>
      <c r="Z14" s="116">
        <v>0.1</v>
      </c>
      <c r="AA14" s="116">
        <v>0.1</v>
      </c>
      <c r="AB14" s="117">
        <v>0.1</v>
      </c>
      <c r="AC14" s="114">
        <v>0.05</v>
      </c>
      <c r="AD14" s="114">
        <v>0.05</v>
      </c>
      <c r="AE14" s="114">
        <v>0</v>
      </c>
    </row>
    <row r="15" spans="2:31" ht="15" thickBot="1" x14ac:dyDescent="0.35">
      <c r="B15" s="106" t="s">
        <v>162</v>
      </c>
      <c r="C15" s="20" t="str">
        <f t="shared" si="0"/>
        <v>Hydro</v>
      </c>
      <c r="D15" s="3" t="s">
        <v>130</v>
      </c>
      <c r="E15" s="113">
        <v>0.05</v>
      </c>
      <c r="F15" s="114">
        <v>0.05</v>
      </c>
      <c r="G15" s="114">
        <v>0.05</v>
      </c>
      <c r="H15" s="114">
        <v>0.05</v>
      </c>
      <c r="I15" s="114">
        <v>0.05</v>
      </c>
      <c r="J15" s="115">
        <v>0.05</v>
      </c>
      <c r="K15" s="124">
        <v>0.1</v>
      </c>
      <c r="L15" s="116">
        <v>0.1</v>
      </c>
      <c r="M15" s="116">
        <v>0.1</v>
      </c>
      <c r="N15" s="116">
        <v>0.1</v>
      </c>
      <c r="O15" s="116">
        <v>0.1</v>
      </c>
      <c r="P15" s="117">
        <v>0.1</v>
      </c>
      <c r="Q15" s="124">
        <v>0.1</v>
      </c>
      <c r="R15" s="116">
        <v>0.1</v>
      </c>
      <c r="S15" s="116">
        <v>0.1</v>
      </c>
      <c r="T15" s="116">
        <v>0.1</v>
      </c>
      <c r="U15" s="116">
        <v>0.1</v>
      </c>
      <c r="V15" s="116">
        <v>0.1</v>
      </c>
      <c r="W15" s="116">
        <v>0.1</v>
      </c>
      <c r="X15" s="116">
        <v>0.1</v>
      </c>
      <c r="Y15" s="116">
        <v>0.1</v>
      </c>
      <c r="Z15" s="116">
        <v>0.1</v>
      </c>
      <c r="AA15" s="116">
        <v>0.1</v>
      </c>
      <c r="AB15" s="117">
        <v>0.1</v>
      </c>
      <c r="AC15" s="114">
        <v>0.05</v>
      </c>
      <c r="AD15" s="114">
        <v>0.05</v>
      </c>
      <c r="AE15" s="114">
        <v>0</v>
      </c>
    </row>
    <row r="16" spans="2:31" x14ac:dyDescent="0.3">
      <c r="B16" s="101" t="s">
        <v>9</v>
      </c>
      <c r="C16" s="98" t="str">
        <f t="shared" si="0"/>
        <v>Hydro</v>
      </c>
      <c r="D16" s="98" t="s">
        <v>8</v>
      </c>
      <c r="E16" s="108">
        <v>0</v>
      </c>
      <c r="F16" s="109">
        <v>0</v>
      </c>
      <c r="G16" s="109">
        <v>0</v>
      </c>
      <c r="H16" s="109">
        <v>0.25</v>
      </c>
      <c r="I16" s="109">
        <v>0.25</v>
      </c>
      <c r="J16" s="112">
        <v>0.25</v>
      </c>
      <c r="K16" s="108">
        <v>0.5</v>
      </c>
      <c r="L16" s="109">
        <v>0.5</v>
      </c>
      <c r="M16" s="109">
        <v>0.5</v>
      </c>
      <c r="N16" s="109">
        <v>0.75</v>
      </c>
      <c r="O16" s="109">
        <v>0.75</v>
      </c>
      <c r="P16" s="109">
        <v>0.75</v>
      </c>
      <c r="Q16" s="108">
        <v>0.75</v>
      </c>
      <c r="R16" s="109">
        <v>0.75</v>
      </c>
      <c r="S16" s="109">
        <v>0.75</v>
      </c>
      <c r="T16" s="109">
        <v>0.75</v>
      </c>
      <c r="U16" s="109">
        <v>0.75</v>
      </c>
      <c r="V16" s="109">
        <v>0.75</v>
      </c>
      <c r="W16" s="109">
        <v>0.75</v>
      </c>
      <c r="X16" s="109">
        <v>0.75</v>
      </c>
      <c r="Y16" s="109">
        <v>0.75</v>
      </c>
      <c r="Z16" s="109">
        <v>0.75</v>
      </c>
      <c r="AA16" s="109">
        <v>0.75</v>
      </c>
      <c r="AB16" s="110">
        <v>0.75</v>
      </c>
      <c r="AC16" s="108">
        <v>0.5</v>
      </c>
      <c r="AD16" s="109">
        <v>0.4</v>
      </c>
      <c r="AE16" s="110">
        <v>0.25</v>
      </c>
    </row>
    <row r="17" spans="2:31" ht="15" thickBot="1" x14ac:dyDescent="0.35">
      <c r="B17" s="106" t="s">
        <v>10</v>
      </c>
      <c r="C17" s="20" t="str">
        <f t="shared" si="0"/>
        <v>Hydro</v>
      </c>
      <c r="D17" s="20" t="s">
        <v>8</v>
      </c>
      <c r="E17" s="173">
        <v>0</v>
      </c>
      <c r="F17" s="174">
        <v>0</v>
      </c>
      <c r="G17" s="174">
        <v>0</v>
      </c>
      <c r="H17" s="174">
        <v>0</v>
      </c>
      <c r="I17" s="174">
        <v>0</v>
      </c>
      <c r="J17" s="122">
        <v>0</v>
      </c>
      <c r="K17" s="173">
        <v>0</v>
      </c>
      <c r="L17" s="174">
        <v>0</v>
      </c>
      <c r="M17" s="174">
        <v>0</v>
      </c>
      <c r="N17" s="174">
        <v>0</v>
      </c>
      <c r="O17" s="174">
        <v>0</v>
      </c>
      <c r="P17" s="174">
        <v>0</v>
      </c>
      <c r="Q17" s="173">
        <v>0.5</v>
      </c>
      <c r="R17" s="174">
        <v>0.5</v>
      </c>
      <c r="S17" s="174">
        <v>0.5</v>
      </c>
      <c r="T17" s="174">
        <v>0.5</v>
      </c>
      <c r="U17" s="174">
        <v>0.5</v>
      </c>
      <c r="V17" s="174">
        <v>0.5</v>
      </c>
      <c r="W17" s="174">
        <v>0.5</v>
      </c>
      <c r="X17" s="174">
        <v>0.5</v>
      </c>
      <c r="Y17" s="174">
        <v>0.5</v>
      </c>
      <c r="Z17" s="174">
        <v>0.5</v>
      </c>
      <c r="AA17" s="174">
        <v>0.5</v>
      </c>
      <c r="AB17" s="175">
        <v>0.5</v>
      </c>
      <c r="AC17" s="173">
        <v>0.25</v>
      </c>
      <c r="AD17" s="174">
        <v>0.15</v>
      </c>
      <c r="AE17" s="175">
        <v>0</v>
      </c>
    </row>
    <row r="18" spans="2:31" x14ac:dyDescent="0.3">
      <c r="B18" s="101" t="s">
        <v>13</v>
      </c>
      <c r="C18" s="98" t="str">
        <f t="shared" si="0"/>
        <v>Hydro</v>
      </c>
      <c r="D18" s="98" t="s">
        <v>12</v>
      </c>
      <c r="E18" s="113">
        <v>0.1</v>
      </c>
      <c r="F18" s="114">
        <v>0.1</v>
      </c>
      <c r="G18" s="114">
        <v>0.1</v>
      </c>
      <c r="H18" s="114">
        <v>0.1</v>
      </c>
      <c r="I18" s="114">
        <v>0.1</v>
      </c>
      <c r="J18" s="117">
        <v>0.1</v>
      </c>
      <c r="K18" s="114">
        <v>0.1</v>
      </c>
      <c r="L18" s="114">
        <v>0.1</v>
      </c>
      <c r="M18" s="114">
        <v>0.1</v>
      </c>
      <c r="N18" s="114">
        <v>0.1</v>
      </c>
      <c r="O18" s="114">
        <v>0.1</v>
      </c>
      <c r="P18" s="114">
        <v>0.1</v>
      </c>
      <c r="Q18" s="113">
        <v>0.1</v>
      </c>
      <c r="R18" s="114">
        <v>0.1</v>
      </c>
      <c r="S18" s="114">
        <v>0.1</v>
      </c>
      <c r="T18" s="114">
        <v>0.1</v>
      </c>
      <c r="U18" s="114">
        <v>0.1</v>
      </c>
      <c r="V18" s="114">
        <v>0.1</v>
      </c>
      <c r="W18" s="114">
        <v>0.1</v>
      </c>
      <c r="X18" s="114">
        <v>0.1</v>
      </c>
      <c r="Y18" s="114">
        <v>0.1</v>
      </c>
      <c r="Z18" s="114">
        <v>0.1</v>
      </c>
      <c r="AA18" s="114">
        <v>0.1</v>
      </c>
      <c r="AB18" s="115">
        <v>0.1</v>
      </c>
      <c r="AC18" s="113">
        <v>0.1</v>
      </c>
      <c r="AD18" s="114">
        <v>0.1</v>
      </c>
      <c r="AE18" s="115">
        <v>0.1</v>
      </c>
    </row>
    <row r="19" spans="2:31" x14ac:dyDescent="0.3">
      <c r="B19" s="102" t="s">
        <v>14</v>
      </c>
      <c r="C19" s="3" t="str">
        <f t="shared" si="0"/>
        <v>Hydro</v>
      </c>
      <c r="D19" s="3" t="s">
        <v>12</v>
      </c>
      <c r="E19" s="113">
        <v>0.05</v>
      </c>
      <c r="F19" s="114">
        <v>0.05</v>
      </c>
      <c r="G19" s="114">
        <v>0.05</v>
      </c>
      <c r="H19" s="114">
        <v>0.05</v>
      </c>
      <c r="I19" s="114">
        <v>0.05</v>
      </c>
      <c r="J19" s="117">
        <v>0.05</v>
      </c>
      <c r="K19" s="114">
        <v>0.05</v>
      </c>
      <c r="L19" s="114">
        <v>0.05</v>
      </c>
      <c r="M19" s="114">
        <v>0.05</v>
      </c>
      <c r="N19" s="114">
        <v>0.05</v>
      </c>
      <c r="O19" s="114">
        <v>0.05</v>
      </c>
      <c r="P19" s="114">
        <v>0.05</v>
      </c>
      <c r="Q19" s="113">
        <v>0.05</v>
      </c>
      <c r="R19" s="114">
        <v>0.05</v>
      </c>
      <c r="S19" s="114">
        <v>0.05</v>
      </c>
      <c r="T19" s="114">
        <v>0.05</v>
      </c>
      <c r="U19" s="114">
        <v>0.05</v>
      </c>
      <c r="V19" s="114">
        <v>0.05</v>
      </c>
      <c r="W19" s="114">
        <v>0.05</v>
      </c>
      <c r="X19" s="114">
        <v>0.05</v>
      </c>
      <c r="Y19" s="114">
        <v>0.05</v>
      </c>
      <c r="Z19" s="114">
        <v>0.05</v>
      </c>
      <c r="AA19" s="114">
        <v>0.05</v>
      </c>
      <c r="AB19" s="115">
        <v>0.05</v>
      </c>
      <c r="AC19" s="113">
        <v>0.05</v>
      </c>
      <c r="AD19" s="114">
        <v>0</v>
      </c>
      <c r="AE19" s="115">
        <v>0</v>
      </c>
    </row>
    <row r="20" spans="2:31" x14ac:dyDescent="0.3">
      <c r="B20" s="102" t="s">
        <v>15</v>
      </c>
      <c r="C20" s="3" t="str">
        <f t="shared" si="0"/>
        <v>Hydro</v>
      </c>
      <c r="D20" s="3" t="s">
        <v>12</v>
      </c>
      <c r="E20" s="113">
        <v>0.15</v>
      </c>
      <c r="F20" s="114">
        <v>0.15</v>
      </c>
      <c r="G20" s="114">
        <v>0.15</v>
      </c>
      <c r="H20" s="114">
        <v>0.15</v>
      </c>
      <c r="I20" s="114">
        <v>0.15</v>
      </c>
      <c r="J20" s="117">
        <v>0.15</v>
      </c>
      <c r="K20" s="114">
        <v>0.15</v>
      </c>
      <c r="L20" s="114">
        <v>0.15</v>
      </c>
      <c r="M20" s="114">
        <v>0.15</v>
      </c>
      <c r="N20" s="114">
        <v>0.15</v>
      </c>
      <c r="O20" s="114">
        <v>0.15</v>
      </c>
      <c r="P20" s="114">
        <v>0.15</v>
      </c>
      <c r="Q20" s="113">
        <v>0.15</v>
      </c>
      <c r="R20" s="114">
        <v>0.15</v>
      </c>
      <c r="S20" s="114">
        <v>0.15</v>
      </c>
      <c r="T20" s="114">
        <v>0.15</v>
      </c>
      <c r="U20" s="114">
        <v>0.15</v>
      </c>
      <c r="V20" s="114">
        <v>0.15</v>
      </c>
      <c r="W20" s="114">
        <v>0.15</v>
      </c>
      <c r="X20" s="114">
        <v>0.15</v>
      </c>
      <c r="Y20" s="114">
        <v>0.15</v>
      </c>
      <c r="Z20" s="114">
        <v>0.15</v>
      </c>
      <c r="AA20" s="114">
        <v>0.15</v>
      </c>
      <c r="AB20" s="115">
        <v>0.15</v>
      </c>
      <c r="AC20" s="113">
        <v>0.15</v>
      </c>
      <c r="AD20" s="114">
        <v>0.15</v>
      </c>
      <c r="AE20" s="115">
        <v>0.15</v>
      </c>
    </row>
    <row r="21" spans="2:31" x14ac:dyDescent="0.3">
      <c r="B21" s="102" t="s">
        <v>16</v>
      </c>
      <c r="C21" s="3" t="str">
        <f t="shared" si="0"/>
        <v>Hydro</v>
      </c>
      <c r="D21" s="3" t="s">
        <v>12</v>
      </c>
      <c r="E21" s="113">
        <v>0.1</v>
      </c>
      <c r="F21" s="114">
        <v>0.1</v>
      </c>
      <c r="G21" s="114">
        <v>0.1</v>
      </c>
      <c r="H21" s="114">
        <v>0.1</v>
      </c>
      <c r="I21" s="114">
        <v>0.1</v>
      </c>
      <c r="J21" s="115">
        <v>0.1</v>
      </c>
      <c r="K21" s="114">
        <v>0.1</v>
      </c>
      <c r="L21" s="114">
        <v>0.1</v>
      </c>
      <c r="M21" s="114">
        <v>0.1</v>
      </c>
      <c r="N21" s="114">
        <v>0.1</v>
      </c>
      <c r="O21" s="114">
        <v>0.1</v>
      </c>
      <c r="P21" s="114">
        <v>0.1</v>
      </c>
      <c r="Q21" s="113">
        <v>0.1</v>
      </c>
      <c r="R21" s="114">
        <v>0.1</v>
      </c>
      <c r="S21" s="114">
        <v>0.1</v>
      </c>
      <c r="T21" s="114">
        <v>0.1</v>
      </c>
      <c r="U21" s="114">
        <v>0.1</v>
      </c>
      <c r="V21" s="114">
        <v>0.1</v>
      </c>
      <c r="W21" s="114">
        <v>0.1</v>
      </c>
      <c r="X21" s="114">
        <v>0.1</v>
      </c>
      <c r="Y21" s="114">
        <v>0.1</v>
      </c>
      <c r="Z21" s="114">
        <v>0.1</v>
      </c>
      <c r="AA21" s="114">
        <v>0.1</v>
      </c>
      <c r="AB21" s="115">
        <v>0.1</v>
      </c>
      <c r="AC21" s="113">
        <v>0.1</v>
      </c>
      <c r="AD21" s="114">
        <v>0.1</v>
      </c>
      <c r="AE21" s="115">
        <v>0.1</v>
      </c>
    </row>
    <row r="22" spans="2:31" ht="15" thickBot="1" x14ac:dyDescent="0.35">
      <c r="B22" s="102" t="s">
        <v>18</v>
      </c>
      <c r="C22" s="3" t="str">
        <f t="shared" si="0"/>
        <v>Hydro</v>
      </c>
      <c r="D22" s="3" t="s">
        <v>12</v>
      </c>
      <c r="E22" s="118">
        <v>0.1</v>
      </c>
      <c r="F22" s="119">
        <v>0.1</v>
      </c>
      <c r="G22" s="119">
        <v>0.1</v>
      </c>
      <c r="H22" s="119">
        <v>0.1</v>
      </c>
      <c r="I22" s="119">
        <v>0.1</v>
      </c>
      <c r="J22" s="120">
        <v>0.1</v>
      </c>
      <c r="K22" s="114">
        <v>0.1</v>
      </c>
      <c r="L22" s="114">
        <v>0.1</v>
      </c>
      <c r="M22" s="114">
        <v>0.1</v>
      </c>
      <c r="N22" s="114">
        <v>0.1</v>
      </c>
      <c r="O22" s="114">
        <v>0.1</v>
      </c>
      <c r="P22" s="114">
        <v>0.1</v>
      </c>
      <c r="Q22" s="118">
        <v>0.1</v>
      </c>
      <c r="R22" s="119">
        <v>0.1</v>
      </c>
      <c r="S22" s="119">
        <v>0.1</v>
      </c>
      <c r="T22" s="119">
        <v>0.1</v>
      </c>
      <c r="U22" s="119">
        <v>0.1</v>
      </c>
      <c r="V22" s="119">
        <v>0.1</v>
      </c>
      <c r="W22" s="119">
        <v>0.1</v>
      </c>
      <c r="X22" s="119">
        <v>0.1</v>
      </c>
      <c r="Y22" s="119">
        <v>0.1</v>
      </c>
      <c r="Z22" s="119">
        <v>0.1</v>
      </c>
      <c r="AA22" s="119">
        <v>0.1</v>
      </c>
      <c r="AB22" s="120">
        <v>0.1</v>
      </c>
      <c r="AC22" s="113">
        <v>0.1</v>
      </c>
      <c r="AD22" s="114">
        <v>0.1</v>
      </c>
      <c r="AE22" s="115">
        <v>0.1</v>
      </c>
    </row>
    <row r="23" spans="2:31" x14ac:dyDescent="0.3">
      <c r="B23" s="6"/>
    </row>
    <row r="24" spans="2:31" x14ac:dyDescent="0.3">
      <c r="B24" s="6"/>
      <c r="C24" s="6"/>
      <c r="D24" s="18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</row>
    <row r="49" s="5" customFormat="1" x14ac:dyDescent="0.3"/>
    <row r="50" s="5" customFormat="1" x14ac:dyDescent="0.3"/>
    <row r="51" s="5" customFormat="1" x14ac:dyDescent="0.3"/>
    <row r="52" s="5" customFormat="1" x14ac:dyDescent="0.3"/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899216-A54F-4A9F-870B-CE162AEA1F4E}">
          <x14:formula1>
            <xm:f>'Duration Table'!$C$7:$C$17</xm:f>
          </x14:formula1>
          <xm:sqref>C2:J2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FB6F-E6C4-4C82-AD2D-735A040B3232}">
  <sheetPr>
    <tabColor rgb="FF0070C0"/>
  </sheetPr>
  <dimension ref="B1:AE52"/>
  <sheetViews>
    <sheetView zoomScaleNormal="100" workbookViewId="0">
      <selection activeCell="R1" sqref="R1"/>
    </sheetView>
  </sheetViews>
  <sheetFormatPr defaultColWidth="9.109375" defaultRowHeight="14.4" x14ac:dyDescent="0.3"/>
  <cols>
    <col min="1" max="1" width="3.5546875" style="5" customWidth="1"/>
    <col min="2" max="2" width="39.44140625" style="5" customWidth="1"/>
    <col min="3" max="3" width="26.33203125" style="5" customWidth="1"/>
    <col min="4" max="4" width="23.109375" style="5" customWidth="1"/>
    <col min="5" max="5" width="5.5546875" style="5" customWidth="1"/>
    <col min="6" max="6" width="6" style="5" customWidth="1"/>
    <col min="7" max="7" width="5.5546875" style="5" customWidth="1"/>
    <col min="8" max="8" width="5.6640625" style="5" customWidth="1"/>
    <col min="9" max="9" width="6" style="5" customWidth="1"/>
    <col min="10" max="10" width="5.88671875" style="5" customWidth="1"/>
    <col min="11" max="28" width="6" style="5" bestFit="1" customWidth="1"/>
    <col min="29" max="31" width="7.5546875" style="5" bestFit="1" customWidth="1"/>
    <col min="32" max="16384" width="9.109375" style="5"/>
  </cols>
  <sheetData>
    <row r="1" spans="2:31" ht="139.94999999999999" customHeight="1" thickBot="1" x14ac:dyDescent="0.35"/>
    <row r="2" spans="2:31" ht="24" thickBot="1" x14ac:dyDescent="0.5">
      <c r="B2" s="172" t="s">
        <v>148</v>
      </c>
      <c r="C2" s="177" t="s">
        <v>32</v>
      </c>
      <c r="D2" s="178"/>
      <c r="E2" s="178"/>
      <c r="F2" s="178"/>
      <c r="G2" s="178"/>
      <c r="H2" s="178"/>
      <c r="I2" s="178"/>
      <c r="J2" s="179"/>
    </row>
    <row r="3" spans="2:31" ht="15" thickBot="1" x14ac:dyDescent="0.35"/>
    <row r="4" spans="2:31" ht="16.2" thickBot="1" x14ac:dyDescent="0.35">
      <c r="B4" s="127" t="s">
        <v>73</v>
      </c>
      <c r="C4" s="73" t="s">
        <v>123</v>
      </c>
      <c r="D4" s="128" t="s">
        <v>64</v>
      </c>
      <c r="E4" s="180" t="s">
        <v>25</v>
      </c>
      <c r="F4" s="181"/>
      <c r="G4" s="181"/>
      <c r="H4" s="181"/>
      <c r="I4" s="181"/>
      <c r="J4" s="182"/>
      <c r="K4" s="183" t="s">
        <v>0</v>
      </c>
      <c r="L4" s="184"/>
      <c r="M4" s="184"/>
      <c r="N4" s="184"/>
      <c r="O4" s="184"/>
      <c r="P4" s="185"/>
      <c r="Q4" s="186" t="s">
        <v>1</v>
      </c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8"/>
      <c r="AC4" s="189" t="s">
        <v>26</v>
      </c>
      <c r="AD4" s="190"/>
      <c r="AE4" s="191"/>
    </row>
    <row r="5" spans="2:31" ht="15" hidden="1" thickBot="1" x14ac:dyDescent="0.35">
      <c r="B5" s="6" t="s">
        <v>114</v>
      </c>
      <c r="C5" s="72" t="s">
        <v>116</v>
      </c>
      <c r="D5" s="43" t="s">
        <v>117</v>
      </c>
      <c r="E5" s="3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4" t="s">
        <v>79</v>
      </c>
      <c r="K5" s="3" t="s">
        <v>80</v>
      </c>
      <c r="L5" s="38" t="s">
        <v>81</v>
      </c>
      <c r="M5" s="38" t="s">
        <v>82</v>
      </c>
      <c r="N5" s="38" t="s">
        <v>83</v>
      </c>
      <c r="O5" s="38" t="s">
        <v>84</v>
      </c>
      <c r="P5" s="4" t="s">
        <v>85</v>
      </c>
      <c r="Q5" s="3" t="s">
        <v>86</v>
      </c>
      <c r="R5" s="38" t="s">
        <v>87</v>
      </c>
      <c r="S5" s="38" t="s">
        <v>88</v>
      </c>
      <c r="T5" s="38" t="s">
        <v>89</v>
      </c>
      <c r="U5" s="38" t="s">
        <v>90</v>
      </c>
      <c r="V5" s="38" t="s">
        <v>91</v>
      </c>
      <c r="W5" s="38" t="s">
        <v>92</v>
      </c>
      <c r="X5" s="38" t="s">
        <v>93</v>
      </c>
      <c r="Y5" s="38" t="s">
        <v>94</v>
      </c>
      <c r="Z5" s="38" t="s">
        <v>95</v>
      </c>
      <c r="AA5" s="38" t="s">
        <v>96</v>
      </c>
      <c r="AB5" s="4" t="s">
        <v>97</v>
      </c>
      <c r="AC5" s="38" t="s">
        <v>98</v>
      </c>
      <c r="AD5" s="38" t="s">
        <v>99</v>
      </c>
      <c r="AE5" s="38" t="s">
        <v>100</v>
      </c>
    </row>
    <row r="6" spans="2:31" x14ac:dyDescent="0.3">
      <c r="B6" s="101" t="s">
        <v>3</v>
      </c>
      <c r="C6" s="95" t="str">
        <f t="shared" ref="C6:C18" si="0">$C$2</f>
        <v>Biomass</v>
      </c>
      <c r="D6" s="41" t="s">
        <v>2</v>
      </c>
      <c r="E6" s="108">
        <v>0.25</v>
      </c>
      <c r="F6" s="109">
        <v>0.25</v>
      </c>
      <c r="G6" s="109">
        <v>0.25</v>
      </c>
      <c r="H6" s="109">
        <v>0.45</v>
      </c>
      <c r="I6" s="109">
        <v>0.45</v>
      </c>
      <c r="J6" s="112">
        <v>0.45</v>
      </c>
      <c r="K6" s="123">
        <v>0.65</v>
      </c>
      <c r="L6" s="111">
        <v>0.65</v>
      </c>
      <c r="M6" s="111">
        <v>0.65</v>
      </c>
      <c r="N6" s="111">
        <v>0.85</v>
      </c>
      <c r="O6" s="111">
        <v>0.85</v>
      </c>
      <c r="P6" s="112">
        <v>0.85</v>
      </c>
      <c r="Q6" s="123">
        <v>0.85</v>
      </c>
      <c r="R6" s="111">
        <v>0.85</v>
      </c>
      <c r="S6" s="111">
        <v>0.85</v>
      </c>
      <c r="T6" s="111">
        <v>0.85</v>
      </c>
      <c r="U6" s="111">
        <v>0.85</v>
      </c>
      <c r="V6" s="111">
        <v>0.85</v>
      </c>
      <c r="W6" s="111">
        <v>0.85</v>
      </c>
      <c r="X6" s="111">
        <v>0.85</v>
      </c>
      <c r="Y6" s="111">
        <v>0.85</v>
      </c>
      <c r="Z6" s="111">
        <v>0.85</v>
      </c>
      <c r="AA6" s="111">
        <v>0.85</v>
      </c>
      <c r="AB6" s="112">
        <v>0.85</v>
      </c>
      <c r="AC6" s="109">
        <v>0.5</v>
      </c>
      <c r="AD6" s="109">
        <v>0.4</v>
      </c>
      <c r="AE6" s="110">
        <v>0.25</v>
      </c>
    </row>
    <row r="7" spans="2:31" x14ac:dyDescent="0.3">
      <c r="B7" s="102" t="s">
        <v>4</v>
      </c>
      <c r="C7" s="96" t="str">
        <f t="shared" si="0"/>
        <v>Biomass</v>
      </c>
      <c r="D7" s="38" t="s">
        <v>2</v>
      </c>
      <c r="E7" s="113">
        <v>0.05</v>
      </c>
      <c r="F7" s="114">
        <v>0.05</v>
      </c>
      <c r="G7" s="114">
        <v>0.05</v>
      </c>
      <c r="H7" s="114">
        <v>0.05</v>
      </c>
      <c r="I7" s="114">
        <v>0.05</v>
      </c>
      <c r="J7" s="115">
        <v>0.05</v>
      </c>
      <c r="K7" s="113">
        <v>0.05</v>
      </c>
      <c r="L7" s="114">
        <v>0.05</v>
      </c>
      <c r="M7" s="114">
        <v>0.05</v>
      </c>
      <c r="N7" s="114">
        <v>0.05</v>
      </c>
      <c r="O7" s="114">
        <v>0.05</v>
      </c>
      <c r="P7" s="115">
        <v>0.05</v>
      </c>
      <c r="Q7" s="113">
        <v>0.05</v>
      </c>
      <c r="R7" s="114">
        <v>0.05</v>
      </c>
      <c r="S7" s="114">
        <v>0.05</v>
      </c>
      <c r="T7" s="114">
        <v>0.05</v>
      </c>
      <c r="U7" s="114">
        <v>0.05</v>
      </c>
      <c r="V7" s="114">
        <v>0.05</v>
      </c>
      <c r="W7" s="114">
        <v>0.05</v>
      </c>
      <c r="X7" s="114">
        <v>0.05</v>
      </c>
      <c r="Y7" s="114">
        <v>0.05</v>
      </c>
      <c r="Z7" s="114">
        <v>0.05</v>
      </c>
      <c r="AA7" s="114">
        <v>0.05</v>
      </c>
      <c r="AB7" s="115">
        <v>0.05</v>
      </c>
      <c r="AC7" s="114">
        <v>0.05</v>
      </c>
      <c r="AD7" s="114">
        <v>0.05</v>
      </c>
      <c r="AE7" s="115">
        <v>0.05</v>
      </c>
    </row>
    <row r="8" spans="2:31" ht="15" thickBot="1" x14ac:dyDescent="0.35">
      <c r="B8" s="106" t="s">
        <v>5</v>
      </c>
      <c r="C8" s="97" t="str">
        <f t="shared" si="0"/>
        <v>Biomass</v>
      </c>
      <c r="D8" s="16" t="s">
        <v>2</v>
      </c>
      <c r="E8" s="118">
        <v>0.05</v>
      </c>
      <c r="F8" s="119">
        <v>0.05</v>
      </c>
      <c r="G8" s="119">
        <v>0.1</v>
      </c>
      <c r="H8" s="119">
        <v>0.1</v>
      </c>
      <c r="I8" s="119">
        <v>0.15</v>
      </c>
      <c r="J8" s="122">
        <v>0.15</v>
      </c>
      <c r="K8" s="125">
        <v>0.25</v>
      </c>
      <c r="L8" s="121">
        <v>0.25</v>
      </c>
      <c r="M8" s="121">
        <v>0.25</v>
      </c>
      <c r="N8" s="121">
        <v>0.25</v>
      </c>
      <c r="O8" s="121">
        <v>0.25</v>
      </c>
      <c r="P8" s="122">
        <v>0.25</v>
      </c>
      <c r="Q8" s="125">
        <v>0.25</v>
      </c>
      <c r="R8" s="121">
        <v>0.25</v>
      </c>
      <c r="S8" s="121">
        <v>0.25</v>
      </c>
      <c r="T8" s="121">
        <v>0.25</v>
      </c>
      <c r="U8" s="121">
        <v>0.25</v>
      </c>
      <c r="V8" s="121">
        <v>0.25</v>
      </c>
      <c r="W8" s="121">
        <v>0.25</v>
      </c>
      <c r="X8" s="121">
        <v>0.25</v>
      </c>
      <c r="Y8" s="121">
        <v>0.25</v>
      </c>
      <c r="Z8" s="121">
        <v>0.25</v>
      </c>
      <c r="AA8" s="121">
        <v>0.25</v>
      </c>
      <c r="AB8" s="122">
        <v>0.25</v>
      </c>
      <c r="AC8" s="121">
        <v>0.25</v>
      </c>
      <c r="AD8" s="121">
        <v>0.25</v>
      </c>
      <c r="AE8" s="122">
        <v>0.25</v>
      </c>
    </row>
    <row r="9" spans="2:31" x14ac:dyDescent="0.3">
      <c r="B9" s="101" t="s">
        <v>132</v>
      </c>
      <c r="C9" s="95" t="str">
        <f t="shared" si="0"/>
        <v>Biomass</v>
      </c>
      <c r="D9" s="41" t="s">
        <v>130</v>
      </c>
      <c r="E9" s="113">
        <v>0.05</v>
      </c>
      <c r="F9" s="114">
        <v>0.05</v>
      </c>
      <c r="G9" s="114">
        <v>0.05</v>
      </c>
      <c r="H9" s="114">
        <v>0.05</v>
      </c>
      <c r="I9" s="114">
        <v>0.05</v>
      </c>
      <c r="J9" s="115">
        <v>0.05</v>
      </c>
      <c r="K9" s="124">
        <v>0.1</v>
      </c>
      <c r="L9" s="116">
        <v>0.1</v>
      </c>
      <c r="M9" s="116">
        <v>0.1</v>
      </c>
      <c r="N9" s="116">
        <v>0.1</v>
      </c>
      <c r="O9" s="116">
        <v>0.1</v>
      </c>
      <c r="P9" s="117">
        <v>0.1</v>
      </c>
      <c r="Q9" s="124">
        <v>0.1</v>
      </c>
      <c r="R9" s="116">
        <v>0.1</v>
      </c>
      <c r="S9" s="116">
        <v>0.1</v>
      </c>
      <c r="T9" s="116">
        <v>0.1</v>
      </c>
      <c r="U9" s="116">
        <v>0.1</v>
      </c>
      <c r="V9" s="116">
        <v>0.1</v>
      </c>
      <c r="W9" s="116">
        <v>0.1</v>
      </c>
      <c r="X9" s="116">
        <v>0.1</v>
      </c>
      <c r="Y9" s="116">
        <v>0.1</v>
      </c>
      <c r="Z9" s="116">
        <v>0.1</v>
      </c>
      <c r="AA9" s="116">
        <v>0.1</v>
      </c>
      <c r="AB9" s="117">
        <v>0.1</v>
      </c>
      <c r="AC9" s="114">
        <v>0.05</v>
      </c>
      <c r="AD9" s="114">
        <v>0.05</v>
      </c>
      <c r="AE9" s="114">
        <v>0</v>
      </c>
    </row>
    <row r="10" spans="2:31" x14ac:dyDescent="0.3">
      <c r="B10" s="102" t="s">
        <v>162</v>
      </c>
      <c r="C10" s="96" t="str">
        <f t="shared" si="0"/>
        <v>Biomass</v>
      </c>
      <c r="D10" s="38" t="s">
        <v>130</v>
      </c>
      <c r="E10" s="113">
        <v>0.05</v>
      </c>
      <c r="F10" s="114">
        <v>0.05</v>
      </c>
      <c r="G10" s="114">
        <v>0.05</v>
      </c>
      <c r="H10" s="114">
        <v>0.05</v>
      </c>
      <c r="I10" s="114">
        <v>0.05</v>
      </c>
      <c r="J10" s="115">
        <v>0.05</v>
      </c>
      <c r="K10" s="124">
        <v>0.1</v>
      </c>
      <c r="L10" s="116">
        <v>0.1</v>
      </c>
      <c r="M10" s="116">
        <v>0.1</v>
      </c>
      <c r="N10" s="116">
        <v>0.1</v>
      </c>
      <c r="O10" s="116">
        <v>0.1</v>
      </c>
      <c r="P10" s="117">
        <v>0.1</v>
      </c>
      <c r="Q10" s="124">
        <v>0.1</v>
      </c>
      <c r="R10" s="116">
        <v>0.1</v>
      </c>
      <c r="S10" s="116">
        <v>0.1</v>
      </c>
      <c r="T10" s="116">
        <v>0.1</v>
      </c>
      <c r="U10" s="116">
        <v>0.1</v>
      </c>
      <c r="V10" s="116">
        <v>0.1</v>
      </c>
      <c r="W10" s="116">
        <v>0.1</v>
      </c>
      <c r="X10" s="116">
        <v>0.1</v>
      </c>
      <c r="Y10" s="116">
        <v>0.1</v>
      </c>
      <c r="Z10" s="116">
        <v>0.1</v>
      </c>
      <c r="AA10" s="116">
        <v>0.1</v>
      </c>
      <c r="AB10" s="117">
        <v>0.1</v>
      </c>
      <c r="AC10" s="114">
        <v>0.05</v>
      </c>
      <c r="AD10" s="114">
        <v>0.05</v>
      </c>
      <c r="AE10" s="114">
        <v>0</v>
      </c>
    </row>
    <row r="11" spans="2:31" ht="15" thickBot="1" x14ac:dyDescent="0.35">
      <c r="B11" s="106" t="s">
        <v>120</v>
      </c>
      <c r="C11" s="97" t="str">
        <f t="shared" si="0"/>
        <v>Biomass</v>
      </c>
      <c r="D11" s="38" t="s">
        <v>130</v>
      </c>
      <c r="E11" s="113">
        <v>0.05</v>
      </c>
      <c r="F11" s="114">
        <v>0.05</v>
      </c>
      <c r="G11" s="114">
        <v>0.05</v>
      </c>
      <c r="H11" s="114">
        <v>0.05</v>
      </c>
      <c r="I11" s="114">
        <v>0.05</v>
      </c>
      <c r="J11" s="115">
        <v>0.05</v>
      </c>
      <c r="K11" s="124">
        <v>0.1</v>
      </c>
      <c r="L11" s="116">
        <v>0.1</v>
      </c>
      <c r="M11" s="116">
        <v>0.1</v>
      </c>
      <c r="N11" s="116">
        <v>0.1</v>
      </c>
      <c r="O11" s="116">
        <v>0.1</v>
      </c>
      <c r="P11" s="117">
        <v>0.1</v>
      </c>
      <c r="Q11" s="124">
        <v>0.1</v>
      </c>
      <c r="R11" s="116">
        <v>0.1</v>
      </c>
      <c r="S11" s="116">
        <v>0.1</v>
      </c>
      <c r="T11" s="116">
        <v>0.1</v>
      </c>
      <c r="U11" s="116">
        <v>0.1</v>
      </c>
      <c r="V11" s="116">
        <v>0.1</v>
      </c>
      <c r="W11" s="116">
        <v>0.1</v>
      </c>
      <c r="X11" s="116">
        <v>0.1</v>
      </c>
      <c r="Y11" s="116">
        <v>0.1</v>
      </c>
      <c r="Z11" s="116">
        <v>0.1</v>
      </c>
      <c r="AA11" s="116">
        <v>0.1</v>
      </c>
      <c r="AB11" s="117">
        <v>0.1</v>
      </c>
      <c r="AC11" s="114">
        <v>0.05</v>
      </c>
      <c r="AD11" s="114">
        <v>0.05</v>
      </c>
      <c r="AE11" s="114">
        <v>0</v>
      </c>
    </row>
    <row r="12" spans="2:31" x14ac:dyDescent="0.3">
      <c r="B12" s="101" t="s">
        <v>9</v>
      </c>
      <c r="C12" s="95" t="str">
        <f t="shared" si="0"/>
        <v>Biomass</v>
      </c>
      <c r="D12" s="41" t="s">
        <v>8</v>
      </c>
      <c r="E12" s="108">
        <v>0</v>
      </c>
      <c r="F12" s="109">
        <v>0</v>
      </c>
      <c r="G12" s="109">
        <v>0</v>
      </c>
      <c r="H12" s="109">
        <v>0.25</v>
      </c>
      <c r="I12" s="109">
        <v>0.25</v>
      </c>
      <c r="J12" s="112">
        <v>0.25</v>
      </c>
      <c r="K12" s="108">
        <v>0.5</v>
      </c>
      <c r="L12" s="109">
        <v>0.5</v>
      </c>
      <c r="M12" s="109">
        <v>0.5</v>
      </c>
      <c r="N12" s="109">
        <v>0.75</v>
      </c>
      <c r="O12" s="109">
        <v>0.75</v>
      </c>
      <c r="P12" s="109">
        <v>0.75</v>
      </c>
      <c r="Q12" s="108">
        <v>0.75</v>
      </c>
      <c r="R12" s="109">
        <v>0.75</v>
      </c>
      <c r="S12" s="109">
        <v>0.75</v>
      </c>
      <c r="T12" s="109">
        <v>0.75</v>
      </c>
      <c r="U12" s="109">
        <v>0.75</v>
      </c>
      <c r="V12" s="109">
        <v>0.75</v>
      </c>
      <c r="W12" s="109">
        <v>0.75</v>
      </c>
      <c r="X12" s="109">
        <v>0.75</v>
      </c>
      <c r="Y12" s="109">
        <v>0.75</v>
      </c>
      <c r="Z12" s="109">
        <v>0.75</v>
      </c>
      <c r="AA12" s="109">
        <v>0.75</v>
      </c>
      <c r="AB12" s="110">
        <v>0.75</v>
      </c>
      <c r="AC12" s="108">
        <v>0.5</v>
      </c>
      <c r="AD12" s="109">
        <v>0.4</v>
      </c>
      <c r="AE12" s="110">
        <v>0.25</v>
      </c>
    </row>
    <row r="13" spans="2:31" ht="14.25" customHeight="1" thickBot="1" x14ac:dyDescent="0.35">
      <c r="B13" s="106" t="s">
        <v>10</v>
      </c>
      <c r="C13" s="97" t="str">
        <f t="shared" si="0"/>
        <v>Biomass</v>
      </c>
      <c r="D13" s="16" t="s">
        <v>8</v>
      </c>
      <c r="E13" s="173">
        <v>0</v>
      </c>
      <c r="F13" s="174">
        <v>0</v>
      </c>
      <c r="G13" s="174">
        <v>0</v>
      </c>
      <c r="H13" s="174">
        <v>0</v>
      </c>
      <c r="I13" s="174">
        <v>0</v>
      </c>
      <c r="J13" s="122">
        <v>0</v>
      </c>
      <c r="K13" s="173">
        <v>0</v>
      </c>
      <c r="L13" s="174">
        <v>0</v>
      </c>
      <c r="M13" s="174">
        <v>0</v>
      </c>
      <c r="N13" s="174">
        <v>0</v>
      </c>
      <c r="O13" s="174">
        <v>0</v>
      </c>
      <c r="P13" s="174">
        <v>0</v>
      </c>
      <c r="Q13" s="173">
        <v>0.5</v>
      </c>
      <c r="R13" s="174">
        <v>0.5</v>
      </c>
      <c r="S13" s="174">
        <v>0.5</v>
      </c>
      <c r="T13" s="174">
        <v>0.5</v>
      </c>
      <c r="U13" s="174">
        <v>0.5</v>
      </c>
      <c r="V13" s="174">
        <v>0.5</v>
      </c>
      <c r="W13" s="174">
        <v>0.5</v>
      </c>
      <c r="X13" s="174">
        <v>0.5</v>
      </c>
      <c r="Y13" s="174">
        <v>0.5</v>
      </c>
      <c r="Z13" s="174">
        <v>0.5</v>
      </c>
      <c r="AA13" s="174">
        <v>0.5</v>
      </c>
      <c r="AB13" s="175">
        <v>0.5</v>
      </c>
      <c r="AC13" s="173">
        <v>0.25</v>
      </c>
      <c r="AD13" s="174">
        <v>0.15</v>
      </c>
      <c r="AE13" s="175">
        <v>0</v>
      </c>
    </row>
    <row r="14" spans="2:31" x14ac:dyDescent="0.3">
      <c r="B14" s="101" t="s">
        <v>13</v>
      </c>
      <c r="C14" s="95" t="str">
        <f t="shared" si="0"/>
        <v>Biomass</v>
      </c>
      <c r="D14" s="41" t="s">
        <v>12</v>
      </c>
      <c r="E14" s="113">
        <v>0.1</v>
      </c>
      <c r="F14" s="114">
        <v>0.1</v>
      </c>
      <c r="G14" s="114">
        <v>0.1</v>
      </c>
      <c r="H14" s="114">
        <v>0.1</v>
      </c>
      <c r="I14" s="114">
        <v>0.1</v>
      </c>
      <c r="J14" s="117">
        <v>0.1</v>
      </c>
      <c r="K14" s="114">
        <v>0.1</v>
      </c>
      <c r="L14" s="114">
        <v>0.1</v>
      </c>
      <c r="M14" s="114">
        <v>0.1</v>
      </c>
      <c r="N14" s="114">
        <v>0.1</v>
      </c>
      <c r="O14" s="114">
        <v>0.1</v>
      </c>
      <c r="P14" s="114">
        <v>0.1</v>
      </c>
      <c r="Q14" s="113">
        <v>0.1</v>
      </c>
      <c r="R14" s="114">
        <v>0.1</v>
      </c>
      <c r="S14" s="114">
        <v>0.1</v>
      </c>
      <c r="T14" s="114">
        <v>0.1</v>
      </c>
      <c r="U14" s="114">
        <v>0.1</v>
      </c>
      <c r="V14" s="114">
        <v>0.1</v>
      </c>
      <c r="W14" s="114">
        <v>0.1</v>
      </c>
      <c r="X14" s="114">
        <v>0.1</v>
      </c>
      <c r="Y14" s="114">
        <v>0.1</v>
      </c>
      <c r="Z14" s="114">
        <v>0.1</v>
      </c>
      <c r="AA14" s="114">
        <v>0.1</v>
      </c>
      <c r="AB14" s="115">
        <v>0.1</v>
      </c>
      <c r="AC14" s="113">
        <v>0.1</v>
      </c>
      <c r="AD14" s="114">
        <v>0.1</v>
      </c>
      <c r="AE14" s="115">
        <v>0.1</v>
      </c>
    </row>
    <row r="15" spans="2:31" x14ac:dyDescent="0.3">
      <c r="B15" s="102" t="s">
        <v>14</v>
      </c>
      <c r="C15" s="96" t="str">
        <f t="shared" si="0"/>
        <v>Biomass</v>
      </c>
      <c r="D15" s="38" t="s">
        <v>12</v>
      </c>
      <c r="E15" s="113">
        <v>0.05</v>
      </c>
      <c r="F15" s="114">
        <v>0.05</v>
      </c>
      <c r="G15" s="114">
        <v>0.05</v>
      </c>
      <c r="H15" s="114">
        <v>0.05</v>
      </c>
      <c r="I15" s="114">
        <v>0.05</v>
      </c>
      <c r="J15" s="117">
        <v>0.05</v>
      </c>
      <c r="K15" s="114">
        <v>0.05</v>
      </c>
      <c r="L15" s="114">
        <v>0.05</v>
      </c>
      <c r="M15" s="114">
        <v>0.05</v>
      </c>
      <c r="N15" s="114">
        <v>0.05</v>
      </c>
      <c r="O15" s="114">
        <v>0.05</v>
      </c>
      <c r="P15" s="114">
        <v>0.05</v>
      </c>
      <c r="Q15" s="113">
        <v>0.05</v>
      </c>
      <c r="R15" s="114">
        <v>0.05</v>
      </c>
      <c r="S15" s="114">
        <v>0.05</v>
      </c>
      <c r="T15" s="114">
        <v>0.05</v>
      </c>
      <c r="U15" s="114">
        <v>0.05</v>
      </c>
      <c r="V15" s="114">
        <v>0.05</v>
      </c>
      <c r="W15" s="114">
        <v>0.05</v>
      </c>
      <c r="X15" s="114">
        <v>0.05</v>
      </c>
      <c r="Y15" s="114">
        <v>0.05</v>
      </c>
      <c r="Z15" s="114">
        <v>0.05</v>
      </c>
      <c r="AA15" s="114">
        <v>0.05</v>
      </c>
      <c r="AB15" s="115">
        <v>0.05</v>
      </c>
      <c r="AC15" s="113">
        <v>0.05</v>
      </c>
      <c r="AD15" s="114">
        <v>0</v>
      </c>
      <c r="AE15" s="115">
        <v>0</v>
      </c>
    </row>
    <row r="16" spans="2:31" x14ac:dyDescent="0.3">
      <c r="B16" s="102" t="s">
        <v>15</v>
      </c>
      <c r="C16" s="96" t="str">
        <f t="shared" si="0"/>
        <v>Biomass</v>
      </c>
      <c r="D16" s="38" t="s">
        <v>12</v>
      </c>
      <c r="E16" s="113">
        <v>0.15</v>
      </c>
      <c r="F16" s="114">
        <v>0.15</v>
      </c>
      <c r="G16" s="114">
        <v>0.15</v>
      </c>
      <c r="H16" s="114">
        <v>0.15</v>
      </c>
      <c r="I16" s="114">
        <v>0.15</v>
      </c>
      <c r="J16" s="117">
        <v>0.15</v>
      </c>
      <c r="K16" s="114">
        <v>0.15</v>
      </c>
      <c r="L16" s="114">
        <v>0.15</v>
      </c>
      <c r="M16" s="114">
        <v>0.15</v>
      </c>
      <c r="N16" s="114">
        <v>0.15</v>
      </c>
      <c r="O16" s="114">
        <v>0.15</v>
      </c>
      <c r="P16" s="114">
        <v>0.15</v>
      </c>
      <c r="Q16" s="113">
        <v>0.15</v>
      </c>
      <c r="R16" s="114">
        <v>0.15</v>
      </c>
      <c r="S16" s="114">
        <v>0.15</v>
      </c>
      <c r="T16" s="114">
        <v>0.15</v>
      </c>
      <c r="U16" s="114">
        <v>0.15</v>
      </c>
      <c r="V16" s="114">
        <v>0.15</v>
      </c>
      <c r="W16" s="114">
        <v>0.15</v>
      </c>
      <c r="X16" s="114">
        <v>0.15</v>
      </c>
      <c r="Y16" s="114">
        <v>0.15</v>
      </c>
      <c r="Z16" s="114">
        <v>0.15</v>
      </c>
      <c r="AA16" s="114">
        <v>0.15</v>
      </c>
      <c r="AB16" s="115">
        <v>0.15</v>
      </c>
      <c r="AC16" s="113">
        <v>0.15</v>
      </c>
      <c r="AD16" s="114">
        <v>0.15</v>
      </c>
      <c r="AE16" s="115">
        <v>0.15</v>
      </c>
    </row>
    <row r="17" spans="2:31" x14ac:dyDescent="0.3">
      <c r="B17" s="102" t="s">
        <v>16</v>
      </c>
      <c r="C17" s="96" t="str">
        <f t="shared" si="0"/>
        <v>Biomass</v>
      </c>
      <c r="D17" s="38" t="s">
        <v>12</v>
      </c>
      <c r="E17" s="113">
        <v>0.1</v>
      </c>
      <c r="F17" s="114">
        <v>0.1</v>
      </c>
      <c r="G17" s="114">
        <v>0.1</v>
      </c>
      <c r="H17" s="114">
        <v>0.1</v>
      </c>
      <c r="I17" s="114">
        <v>0.1</v>
      </c>
      <c r="J17" s="115">
        <v>0.1</v>
      </c>
      <c r="K17" s="114">
        <v>0.1</v>
      </c>
      <c r="L17" s="114">
        <v>0.1</v>
      </c>
      <c r="M17" s="114">
        <v>0.1</v>
      </c>
      <c r="N17" s="114">
        <v>0.1</v>
      </c>
      <c r="O17" s="114">
        <v>0.1</v>
      </c>
      <c r="P17" s="114">
        <v>0.1</v>
      </c>
      <c r="Q17" s="113">
        <v>0.1</v>
      </c>
      <c r="R17" s="114">
        <v>0.1</v>
      </c>
      <c r="S17" s="114">
        <v>0.1</v>
      </c>
      <c r="T17" s="114">
        <v>0.1</v>
      </c>
      <c r="U17" s="114">
        <v>0.1</v>
      </c>
      <c r="V17" s="114">
        <v>0.1</v>
      </c>
      <c r="W17" s="114">
        <v>0.1</v>
      </c>
      <c r="X17" s="114">
        <v>0.1</v>
      </c>
      <c r="Y17" s="114">
        <v>0.1</v>
      </c>
      <c r="Z17" s="114">
        <v>0.1</v>
      </c>
      <c r="AA17" s="114">
        <v>0.1</v>
      </c>
      <c r="AB17" s="115">
        <v>0.1</v>
      </c>
      <c r="AC17" s="113">
        <v>0.1</v>
      </c>
      <c r="AD17" s="114">
        <v>0.1</v>
      </c>
      <c r="AE17" s="115">
        <v>0.1</v>
      </c>
    </row>
    <row r="18" spans="2:31" ht="15" thickBot="1" x14ac:dyDescent="0.35">
      <c r="B18" s="102" t="s">
        <v>18</v>
      </c>
      <c r="C18" s="97" t="str">
        <f t="shared" si="0"/>
        <v>Biomass</v>
      </c>
      <c r="D18" s="38" t="s">
        <v>12</v>
      </c>
      <c r="E18" s="118">
        <v>0.1</v>
      </c>
      <c r="F18" s="119">
        <v>0.1</v>
      </c>
      <c r="G18" s="119">
        <v>0.1</v>
      </c>
      <c r="H18" s="119">
        <v>0.1</v>
      </c>
      <c r="I18" s="119">
        <v>0.1</v>
      </c>
      <c r="J18" s="120">
        <v>0.1</v>
      </c>
      <c r="K18" s="114">
        <v>0.1</v>
      </c>
      <c r="L18" s="114">
        <v>0.1</v>
      </c>
      <c r="M18" s="114">
        <v>0.1</v>
      </c>
      <c r="N18" s="114">
        <v>0.1</v>
      </c>
      <c r="O18" s="114">
        <v>0.1</v>
      </c>
      <c r="P18" s="114">
        <v>0.1</v>
      </c>
      <c r="Q18" s="118">
        <v>0.1</v>
      </c>
      <c r="R18" s="119">
        <v>0.1</v>
      </c>
      <c r="S18" s="119">
        <v>0.1</v>
      </c>
      <c r="T18" s="119">
        <v>0.1</v>
      </c>
      <c r="U18" s="119">
        <v>0.1</v>
      </c>
      <c r="V18" s="119">
        <v>0.1</v>
      </c>
      <c r="W18" s="119">
        <v>0.1</v>
      </c>
      <c r="X18" s="119">
        <v>0.1</v>
      </c>
      <c r="Y18" s="119">
        <v>0.1</v>
      </c>
      <c r="Z18" s="119">
        <v>0.1</v>
      </c>
      <c r="AA18" s="119">
        <v>0.1</v>
      </c>
      <c r="AB18" s="120">
        <v>0.1</v>
      </c>
      <c r="AC18" s="113">
        <v>0.1</v>
      </c>
      <c r="AD18" s="114">
        <v>0.1</v>
      </c>
      <c r="AE18" s="115">
        <v>0.1</v>
      </c>
    </row>
    <row r="20" spans="2:31" ht="14.25" customHeight="1" x14ac:dyDescent="0.3">
      <c r="B20" s="6"/>
      <c r="C20" s="6"/>
      <c r="D20" s="6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</row>
    <row r="22" spans="2:31" x14ac:dyDescent="0.3"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</row>
    <row r="49" s="5" customFormat="1" x14ac:dyDescent="0.3"/>
    <row r="50" s="5" customFormat="1" x14ac:dyDescent="0.3"/>
    <row r="51" s="5" customFormat="1" x14ac:dyDescent="0.3"/>
    <row r="52" s="5" customFormat="1" x14ac:dyDescent="0.3"/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66E7C0-87B0-420B-9E2C-BF102F5D4513}">
          <x14:formula1>
            <xm:f>'Duration Table'!$C$7:$C$17</xm:f>
          </x14:formula1>
          <xm:sqref>C2:J2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B0D7-09CA-4452-AB2E-6F67553810E4}">
  <sheetPr>
    <tabColor rgb="FF0070C0"/>
  </sheetPr>
  <dimension ref="B1:AE52"/>
  <sheetViews>
    <sheetView zoomScaleNormal="100" workbookViewId="0">
      <selection activeCell="E15" sqref="E15:AE15"/>
    </sheetView>
  </sheetViews>
  <sheetFormatPr defaultColWidth="9.109375" defaultRowHeight="14.4" x14ac:dyDescent="0.3"/>
  <cols>
    <col min="1" max="1" width="3.5546875" style="5" customWidth="1"/>
    <col min="2" max="2" width="39.44140625" style="5" customWidth="1"/>
    <col min="3" max="3" width="26.33203125" style="5" customWidth="1"/>
    <col min="4" max="4" width="23.109375" style="5" customWidth="1"/>
    <col min="5" max="10" width="5.44140625" style="5" bestFit="1" customWidth="1"/>
    <col min="11" max="28" width="6" style="5" bestFit="1" customWidth="1"/>
    <col min="29" max="31" width="5.44140625" style="5" customWidth="1"/>
    <col min="32" max="16384" width="9.109375" style="5"/>
  </cols>
  <sheetData>
    <row r="1" spans="2:31" ht="139.94999999999999" customHeight="1" thickBot="1" x14ac:dyDescent="0.35"/>
    <row r="2" spans="2:31" ht="24" thickBot="1" x14ac:dyDescent="0.5">
      <c r="B2" s="172" t="s">
        <v>148</v>
      </c>
      <c r="C2" s="177" t="s">
        <v>24</v>
      </c>
      <c r="D2" s="178"/>
      <c r="E2" s="178"/>
      <c r="F2" s="178"/>
      <c r="G2" s="178"/>
      <c r="H2" s="178"/>
      <c r="I2" s="178"/>
      <c r="J2" s="179"/>
    </row>
    <row r="3" spans="2:31" ht="15" thickBot="1" x14ac:dyDescent="0.35"/>
    <row r="4" spans="2:31" ht="16.2" thickBot="1" x14ac:dyDescent="0.35">
      <c r="B4" s="99" t="s">
        <v>73</v>
      </c>
      <c r="C4" s="73" t="s">
        <v>123</v>
      </c>
      <c r="D4" s="126" t="s">
        <v>64</v>
      </c>
      <c r="E4" s="180" t="s">
        <v>25</v>
      </c>
      <c r="F4" s="181"/>
      <c r="G4" s="181"/>
      <c r="H4" s="181"/>
      <c r="I4" s="181"/>
      <c r="J4" s="182"/>
      <c r="K4" s="183" t="s">
        <v>0</v>
      </c>
      <c r="L4" s="184"/>
      <c r="M4" s="184"/>
      <c r="N4" s="184"/>
      <c r="O4" s="184"/>
      <c r="P4" s="185"/>
      <c r="Q4" s="186" t="s">
        <v>1</v>
      </c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8"/>
      <c r="AC4" s="189" t="s">
        <v>26</v>
      </c>
      <c r="AD4" s="190"/>
      <c r="AE4" s="191"/>
    </row>
    <row r="5" spans="2:31" ht="15" hidden="1" thickBot="1" x14ac:dyDescent="0.35">
      <c r="B5" s="6" t="s">
        <v>114</v>
      </c>
      <c r="C5" s="43" t="s">
        <v>116</v>
      </c>
      <c r="D5" s="43" t="s">
        <v>117</v>
      </c>
      <c r="E5" s="3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4" t="s">
        <v>79</v>
      </c>
      <c r="K5" s="3" t="s">
        <v>80</v>
      </c>
      <c r="L5" s="38" t="s">
        <v>81</v>
      </c>
      <c r="M5" s="38" t="s">
        <v>82</v>
      </c>
      <c r="N5" s="38" t="s">
        <v>83</v>
      </c>
      <c r="O5" s="38" t="s">
        <v>84</v>
      </c>
      <c r="P5" s="4" t="s">
        <v>85</v>
      </c>
      <c r="Q5" s="3" t="s">
        <v>86</v>
      </c>
      <c r="R5" s="38" t="s">
        <v>87</v>
      </c>
      <c r="S5" s="38" t="s">
        <v>88</v>
      </c>
      <c r="T5" s="38" t="s">
        <v>89</v>
      </c>
      <c r="U5" s="38" t="s">
        <v>90</v>
      </c>
      <c r="V5" s="38" t="s">
        <v>91</v>
      </c>
      <c r="W5" s="38" t="s">
        <v>92</v>
      </c>
      <c r="X5" s="38" t="s">
        <v>93</v>
      </c>
      <c r="Y5" s="38" t="s">
        <v>94</v>
      </c>
      <c r="Z5" s="38" t="s">
        <v>95</v>
      </c>
      <c r="AA5" s="38" t="s">
        <v>96</v>
      </c>
      <c r="AB5" s="4" t="s">
        <v>97</v>
      </c>
      <c r="AC5" s="38" t="s">
        <v>98</v>
      </c>
      <c r="AD5" s="38" t="s">
        <v>99</v>
      </c>
      <c r="AE5" s="38" t="s">
        <v>100</v>
      </c>
    </row>
    <row r="6" spans="2:31" x14ac:dyDescent="0.3">
      <c r="B6" s="101" t="s">
        <v>3</v>
      </c>
      <c r="C6" s="98" t="str">
        <f>$C$2</f>
        <v>Solar</v>
      </c>
      <c r="D6" s="98" t="s">
        <v>2</v>
      </c>
      <c r="E6" s="108">
        <v>0.25</v>
      </c>
      <c r="F6" s="109">
        <v>0.25</v>
      </c>
      <c r="G6" s="109">
        <v>0.25</v>
      </c>
      <c r="H6" s="109">
        <v>0.45</v>
      </c>
      <c r="I6" s="109">
        <v>0.45</v>
      </c>
      <c r="J6" s="112">
        <v>0.45</v>
      </c>
      <c r="K6" s="123">
        <v>0.65</v>
      </c>
      <c r="L6" s="111">
        <v>0.65</v>
      </c>
      <c r="M6" s="111">
        <v>0.65</v>
      </c>
      <c r="N6" s="111">
        <v>0.85</v>
      </c>
      <c r="O6" s="111">
        <v>0.85</v>
      </c>
      <c r="P6" s="112">
        <v>0.85</v>
      </c>
      <c r="Q6" s="123">
        <v>0.85</v>
      </c>
      <c r="R6" s="111">
        <v>0.85</v>
      </c>
      <c r="S6" s="111">
        <v>0.85</v>
      </c>
      <c r="T6" s="111">
        <v>0.85</v>
      </c>
      <c r="U6" s="111">
        <v>0.85</v>
      </c>
      <c r="V6" s="111">
        <v>0.85</v>
      </c>
      <c r="W6" s="111">
        <v>0.85</v>
      </c>
      <c r="X6" s="111">
        <v>0.85</v>
      </c>
      <c r="Y6" s="111">
        <v>0.85</v>
      </c>
      <c r="Z6" s="111">
        <v>0.85</v>
      </c>
      <c r="AA6" s="111">
        <v>0.85</v>
      </c>
      <c r="AB6" s="112">
        <v>0.85</v>
      </c>
      <c r="AC6" s="109">
        <v>0.5</v>
      </c>
      <c r="AD6" s="109">
        <v>0.4</v>
      </c>
      <c r="AE6" s="110">
        <v>0.25</v>
      </c>
    </row>
    <row r="7" spans="2:31" x14ac:dyDescent="0.3">
      <c r="B7" s="102" t="s">
        <v>4</v>
      </c>
      <c r="C7" s="3" t="str">
        <f t="shared" ref="C7:C20" si="0">$C$2</f>
        <v>Solar</v>
      </c>
      <c r="D7" s="3" t="s">
        <v>2</v>
      </c>
      <c r="E7" s="113">
        <v>0.05</v>
      </c>
      <c r="F7" s="114">
        <v>0.05</v>
      </c>
      <c r="G7" s="114">
        <v>0.05</v>
      </c>
      <c r="H7" s="114">
        <v>0.05</v>
      </c>
      <c r="I7" s="114">
        <v>0.05</v>
      </c>
      <c r="J7" s="115">
        <v>0.05</v>
      </c>
      <c r="K7" s="113">
        <v>0.05</v>
      </c>
      <c r="L7" s="114">
        <v>0.05</v>
      </c>
      <c r="M7" s="114">
        <v>0.05</v>
      </c>
      <c r="N7" s="114">
        <v>0.05</v>
      </c>
      <c r="O7" s="114">
        <v>0.05</v>
      </c>
      <c r="P7" s="115">
        <v>0.05</v>
      </c>
      <c r="Q7" s="113">
        <v>0.05</v>
      </c>
      <c r="R7" s="114">
        <v>0.05</v>
      </c>
      <c r="S7" s="114">
        <v>0.05</v>
      </c>
      <c r="T7" s="114">
        <v>0.05</v>
      </c>
      <c r="U7" s="114">
        <v>0.05</v>
      </c>
      <c r="V7" s="114">
        <v>0.05</v>
      </c>
      <c r="W7" s="114">
        <v>0.05</v>
      </c>
      <c r="X7" s="114">
        <v>0.05</v>
      </c>
      <c r="Y7" s="114">
        <v>0.05</v>
      </c>
      <c r="Z7" s="114">
        <v>0.05</v>
      </c>
      <c r="AA7" s="114">
        <v>0.05</v>
      </c>
      <c r="AB7" s="115">
        <v>0.05</v>
      </c>
      <c r="AC7" s="114">
        <v>0.05</v>
      </c>
      <c r="AD7" s="114">
        <v>0.05</v>
      </c>
      <c r="AE7" s="115">
        <v>0.05</v>
      </c>
    </row>
    <row r="8" spans="2:31" ht="15" thickBot="1" x14ac:dyDescent="0.35">
      <c r="B8" s="106" t="s">
        <v>5</v>
      </c>
      <c r="C8" s="20" t="str">
        <f t="shared" si="0"/>
        <v>Solar</v>
      </c>
      <c r="D8" s="20" t="s">
        <v>2</v>
      </c>
      <c r="E8" s="118">
        <v>0.05</v>
      </c>
      <c r="F8" s="119">
        <v>0.05</v>
      </c>
      <c r="G8" s="119">
        <v>0.1</v>
      </c>
      <c r="H8" s="119">
        <v>0.1</v>
      </c>
      <c r="I8" s="119">
        <v>0.15</v>
      </c>
      <c r="J8" s="122">
        <v>0.15</v>
      </c>
      <c r="K8" s="125">
        <v>0.25</v>
      </c>
      <c r="L8" s="121">
        <v>0.25</v>
      </c>
      <c r="M8" s="121">
        <v>0.25</v>
      </c>
      <c r="N8" s="121">
        <v>0.25</v>
      </c>
      <c r="O8" s="121">
        <v>0.25</v>
      </c>
      <c r="P8" s="122">
        <v>0.25</v>
      </c>
      <c r="Q8" s="125">
        <v>0.25</v>
      </c>
      <c r="R8" s="121">
        <v>0.25</v>
      </c>
      <c r="S8" s="121">
        <v>0.25</v>
      </c>
      <c r="T8" s="121">
        <v>0.25</v>
      </c>
      <c r="U8" s="121">
        <v>0.25</v>
      </c>
      <c r="V8" s="121">
        <v>0.25</v>
      </c>
      <c r="W8" s="121">
        <v>0.25</v>
      </c>
      <c r="X8" s="121">
        <v>0.25</v>
      </c>
      <c r="Y8" s="121">
        <v>0.25</v>
      </c>
      <c r="Z8" s="121">
        <v>0.25</v>
      </c>
      <c r="AA8" s="121">
        <v>0.25</v>
      </c>
      <c r="AB8" s="122">
        <v>0.25</v>
      </c>
      <c r="AC8" s="121">
        <v>0.25</v>
      </c>
      <c r="AD8" s="121">
        <v>0.25</v>
      </c>
      <c r="AE8" s="122">
        <v>0.25</v>
      </c>
    </row>
    <row r="9" spans="2:31" x14ac:dyDescent="0.3">
      <c r="B9" s="101" t="s">
        <v>132</v>
      </c>
      <c r="C9" s="98" t="str">
        <f t="shared" si="0"/>
        <v>Solar</v>
      </c>
      <c r="D9" s="98" t="s">
        <v>6</v>
      </c>
      <c r="E9" s="113">
        <v>0.05</v>
      </c>
      <c r="F9" s="114">
        <v>0.05</v>
      </c>
      <c r="G9" s="114">
        <v>0.05</v>
      </c>
      <c r="H9" s="114">
        <v>0.05</v>
      </c>
      <c r="I9" s="114">
        <v>0.05</v>
      </c>
      <c r="J9" s="115">
        <v>0.05</v>
      </c>
      <c r="K9" s="124">
        <v>0.1</v>
      </c>
      <c r="L9" s="116">
        <v>0.1</v>
      </c>
      <c r="M9" s="116">
        <v>0.1</v>
      </c>
      <c r="N9" s="116">
        <v>0.1</v>
      </c>
      <c r="O9" s="116">
        <v>0.1</v>
      </c>
      <c r="P9" s="117">
        <v>0.1</v>
      </c>
      <c r="Q9" s="124">
        <v>0.1</v>
      </c>
      <c r="R9" s="116">
        <v>0.1</v>
      </c>
      <c r="S9" s="116">
        <v>0.1</v>
      </c>
      <c r="T9" s="116">
        <v>0.1</v>
      </c>
      <c r="U9" s="116">
        <v>0.1</v>
      </c>
      <c r="V9" s="116">
        <v>0.1</v>
      </c>
      <c r="W9" s="116">
        <v>0.1</v>
      </c>
      <c r="X9" s="116">
        <v>0.1</v>
      </c>
      <c r="Y9" s="116">
        <v>0.1</v>
      </c>
      <c r="Z9" s="116">
        <v>0.1</v>
      </c>
      <c r="AA9" s="116">
        <v>0.1</v>
      </c>
      <c r="AB9" s="117">
        <v>0.1</v>
      </c>
      <c r="AC9" s="114">
        <v>0.05</v>
      </c>
      <c r="AD9" s="114">
        <v>0.05</v>
      </c>
      <c r="AE9" s="114">
        <v>0</v>
      </c>
    </row>
    <row r="10" spans="2:31" x14ac:dyDescent="0.3">
      <c r="B10" s="102" t="s">
        <v>163</v>
      </c>
      <c r="C10" s="3" t="str">
        <f t="shared" si="0"/>
        <v>Solar</v>
      </c>
      <c r="D10" s="3" t="s">
        <v>6</v>
      </c>
      <c r="E10" s="113">
        <v>0.05</v>
      </c>
      <c r="F10" s="114">
        <v>0.05</v>
      </c>
      <c r="G10" s="114">
        <v>0.05</v>
      </c>
      <c r="H10" s="114">
        <v>0.05</v>
      </c>
      <c r="I10" s="114">
        <v>0.05</v>
      </c>
      <c r="J10" s="115">
        <v>0.05</v>
      </c>
      <c r="K10" s="124">
        <v>0.1</v>
      </c>
      <c r="L10" s="116">
        <v>0.1</v>
      </c>
      <c r="M10" s="116">
        <v>0.1</v>
      </c>
      <c r="N10" s="116">
        <v>0.1</v>
      </c>
      <c r="O10" s="116">
        <v>0.1</v>
      </c>
      <c r="P10" s="117">
        <v>0.1</v>
      </c>
      <c r="Q10" s="124">
        <v>0.1</v>
      </c>
      <c r="R10" s="116">
        <v>0.1</v>
      </c>
      <c r="S10" s="116">
        <v>0.1</v>
      </c>
      <c r="T10" s="116">
        <v>0.1</v>
      </c>
      <c r="U10" s="116">
        <v>0.1</v>
      </c>
      <c r="V10" s="116">
        <v>0.1</v>
      </c>
      <c r="W10" s="116">
        <v>0.1</v>
      </c>
      <c r="X10" s="116">
        <v>0.1</v>
      </c>
      <c r="Y10" s="116">
        <v>0.1</v>
      </c>
      <c r="Z10" s="116">
        <v>0.1</v>
      </c>
      <c r="AA10" s="116">
        <v>0.1</v>
      </c>
      <c r="AB10" s="117">
        <v>0.1</v>
      </c>
      <c r="AC10" s="114">
        <v>0.05</v>
      </c>
      <c r="AD10" s="114">
        <v>0.05</v>
      </c>
      <c r="AE10" s="114">
        <v>0</v>
      </c>
    </row>
    <row r="11" spans="2:31" x14ac:dyDescent="0.3">
      <c r="B11" s="102" t="s">
        <v>164</v>
      </c>
      <c r="C11" s="3" t="str">
        <f t="shared" si="0"/>
        <v>Solar</v>
      </c>
      <c r="D11" s="3" t="s">
        <v>6</v>
      </c>
      <c r="E11" s="113">
        <v>0.05</v>
      </c>
      <c r="F11" s="114">
        <v>0.05</v>
      </c>
      <c r="G11" s="114">
        <v>0.05</v>
      </c>
      <c r="H11" s="114">
        <v>0.05</v>
      </c>
      <c r="I11" s="114">
        <v>0.05</v>
      </c>
      <c r="J11" s="115">
        <v>0.05</v>
      </c>
      <c r="K11" s="124">
        <v>0.1</v>
      </c>
      <c r="L11" s="116">
        <v>0.1</v>
      </c>
      <c r="M11" s="116">
        <v>0.1</v>
      </c>
      <c r="N11" s="116">
        <v>0.1</v>
      </c>
      <c r="O11" s="116">
        <v>0.1</v>
      </c>
      <c r="P11" s="117">
        <v>0.1</v>
      </c>
      <c r="Q11" s="124">
        <v>0.1</v>
      </c>
      <c r="R11" s="116">
        <v>0.1</v>
      </c>
      <c r="S11" s="116">
        <v>0.1</v>
      </c>
      <c r="T11" s="116">
        <v>0.1</v>
      </c>
      <c r="U11" s="116">
        <v>0.1</v>
      </c>
      <c r="V11" s="116">
        <v>0.1</v>
      </c>
      <c r="W11" s="116">
        <v>0.1</v>
      </c>
      <c r="X11" s="116">
        <v>0.1</v>
      </c>
      <c r="Y11" s="116">
        <v>0.1</v>
      </c>
      <c r="Z11" s="116">
        <v>0.1</v>
      </c>
      <c r="AA11" s="116">
        <v>0.1</v>
      </c>
      <c r="AB11" s="117">
        <v>0.1</v>
      </c>
      <c r="AC11" s="114">
        <v>0.05</v>
      </c>
      <c r="AD11" s="114">
        <v>0.05</v>
      </c>
      <c r="AE11" s="114">
        <v>0</v>
      </c>
    </row>
    <row r="12" spans="2:31" x14ac:dyDescent="0.3">
      <c r="B12" s="102" t="s">
        <v>120</v>
      </c>
      <c r="C12" s="3" t="str">
        <f t="shared" si="0"/>
        <v>Solar</v>
      </c>
      <c r="D12" s="3" t="s">
        <v>6</v>
      </c>
      <c r="E12" s="113">
        <v>0.05</v>
      </c>
      <c r="F12" s="114">
        <v>0.05</v>
      </c>
      <c r="G12" s="114">
        <v>0.05</v>
      </c>
      <c r="H12" s="114">
        <v>0.05</v>
      </c>
      <c r="I12" s="114">
        <v>0.05</v>
      </c>
      <c r="J12" s="115">
        <v>0.05</v>
      </c>
      <c r="K12" s="124">
        <v>0.1</v>
      </c>
      <c r="L12" s="116">
        <v>0.1</v>
      </c>
      <c r="M12" s="116">
        <v>0.1</v>
      </c>
      <c r="N12" s="116">
        <v>0.1</v>
      </c>
      <c r="O12" s="116">
        <v>0.1</v>
      </c>
      <c r="P12" s="117">
        <v>0.1</v>
      </c>
      <c r="Q12" s="124">
        <v>0.1</v>
      </c>
      <c r="R12" s="116">
        <v>0.1</v>
      </c>
      <c r="S12" s="116">
        <v>0.1</v>
      </c>
      <c r="T12" s="116">
        <v>0.1</v>
      </c>
      <c r="U12" s="116">
        <v>0.1</v>
      </c>
      <c r="V12" s="116">
        <v>0.1</v>
      </c>
      <c r="W12" s="116">
        <v>0.1</v>
      </c>
      <c r="X12" s="116">
        <v>0.1</v>
      </c>
      <c r="Y12" s="116">
        <v>0.1</v>
      </c>
      <c r="Z12" s="116">
        <v>0.1</v>
      </c>
      <c r="AA12" s="116">
        <v>0.1</v>
      </c>
      <c r="AB12" s="117">
        <v>0.1</v>
      </c>
      <c r="AC12" s="114">
        <v>0.05</v>
      </c>
      <c r="AD12" s="114">
        <v>0.05</v>
      </c>
      <c r="AE12" s="114">
        <v>0</v>
      </c>
    </row>
    <row r="13" spans="2:31" ht="15" thickBot="1" x14ac:dyDescent="0.35">
      <c r="B13" s="106" t="s">
        <v>162</v>
      </c>
      <c r="C13" s="20" t="str">
        <f t="shared" si="0"/>
        <v>Solar</v>
      </c>
      <c r="D13" s="20" t="s">
        <v>6</v>
      </c>
      <c r="E13" s="113">
        <v>0.05</v>
      </c>
      <c r="F13" s="114">
        <v>0.05</v>
      </c>
      <c r="G13" s="114">
        <v>0.05</v>
      </c>
      <c r="H13" s="114">
        <v>0.05</v>
      </c>
      <c r="I13" s="114">
        <v>0.05</v>
      </c>
      <c r="J13" s="115">
        <v>0.05</v>
      </c>
      <c r="K13" s="124">
        <v>0.1</v>
      </c>
      <c r="L13" s="116">
        <v>0.1</v>
      </c>
      <c r="M13" s="116">
        <v>0.1</v>
      </c>
      <c r="N13" s="116">
        <v>0.1</v>
      </c>
      <c r="O13" s="116">
        <v>0.1</v>
      </c>
      <c r="P13" s="117">
        <v>0.1</v>
      </c>
      <c r="Q13" s="124">
        <v>0.1</v>
      </c>
      <c r="R13" s="116">
        <v>0.1</v>
      </c>
      <c r="S13" s="116">
        <v>0.1</v>
      </c>
      <c r="T13" s="116">
        <v>0.1</v>
      </c>
      <c r="U13" s="116">
        <v>0.1</v>
      </c>
      <c r="V13" s="116">
        <v>0.1</v>
      </c>
      <c r="W13" s="116">
        <v>0.1</v>
      </c>
      <c r="X13" s="116">
        <v>0.1</v>
      </c>
      <c r="Y13" s="116">
        <v>0.1</v>
      </c>
      <c r="Z13" s="116">
        <v>0.1</v>
      </c>
      <c r="AA13" s="116">
        <v>0.1</v>
      </c>
      <c r="AB13" s="117">
        <v>0.1</v>
      </c>
      <c r="AC13" s="114">
        <v>0.05</v>
      </c>
      <c r="AD13" s="114">
        <v>0.05</v>
      </c>
      <c r="AE13" s="114">
        <v>0</v>
      </c>
    </row>
    <row r="14" spans="2:31" x14ac:dyDescent="0.3">
      <c r="B14" s="101" t="s">
        <v>9</v>
      </c>
      <c r="C14" s="98" t="str">
        <f t="shared" si="0"/>
        <v>Solar</v>
      </c>
      <c r="D14" s="98" t="s">
        <v>8</v>
      </c>
      <c r="E14" s="108">
        <v>0</v>
      </c>
      <c r="F14" s="109">
        <v>0</v>
      </c>
      <c r="G14" s="109">
        <v>0</v>
      </c>
      <c r="H14" s="109">
        <v>0.25</v>
      </c>
      <c r="I14" s="109">
        <v>0.25</v>
      </c>
      <c r="J14" s="112">
        <v>0.25</v>
      </c>
      <c r="K14" s="108">
        <v>0.5</v>
      </c>
      <c r="L14" s="109">
        <v>0.5</v>
      </c>
      <c r="M14" s="109">
        <v>0.5</v>
      </c>
      <c r="N14" s="109">
        <v>0.75</v>
      </c>
      <c r="O14" s="109">
        <v>0.75</v>
      </c>
      <c r="P14" s="109">
        <v>0.75</v>
      </c>
      <c r="Q14" s="108">
        <v>0.75</v>
      </c>
      <c r="R14" s="109">
        <v>0.75</v>
      </c>
      <c r="S14" s="109">
        <v>0.75</v>
      </c>
      <c r="T14" s="109">
        <v>0.75</v>
      </c>
      <c r="U14" s="109">
        <v>0.75</v>
      </c>
      <c r="V14" s="109">
        <v>0.75</v>
      </c>
      <c r="W14" s="109">
        <v>0.75</v>
      </c>
      <c r="X14" s="109">
        <v>0.75</v>
      </c>
      <c r="Y14" s="109">
        <v>0.75</v>
      </c>
      <c r="Z14" s="109">
        <v>0.75</v>
      </c>
      <c r="AA14" s="109">
        <v>0.75</v>
      </c>
      <c r="AB14" s="110">
        <v>0.75</v>
      </c>
      <c r="AC14" s="108">
        <v>0.5</v>
      </c>
      <c r="AD14" s="109">
        <v>0.4</v>
      </c>
      <c r="AE14" s="110">
        <v>0.25</v>
      </c>
    </row>
    <row r="15" spans="2:31" ht="15" thickBot="1" x14ac:dyDescent="0.35">
      <c r="B15" s="106" t="s">
        <v>10</v>
      </c>
      <c r="C15" s="20" t="str">
        <f t="shared" si="0"/>
        <v>Solar</v>
      </c>
      <c r="D15" s="20" t="s">
        <v>8</v>
      </c>
      <c r="E15" s="173">
        <v>0</v>
      </c>
      <c r="F15" s="174">
        <v>0</v>
      </c>
      <c r="G15" s="174">
        <v>0</v>
      </c>
      <c r="H15" s="174">
        <v>0</v>
      </c>
      <c r="I15" s="174">
        <v>0</v>
      </c>
      <c r="J15" s="122">
        <v>0</v>
      </c>
      <c r="K15" s="173">
        <v>0</v>
      </c>
      <c r="L15" s="174">
        <v>0</v>
      </c>
      <c r="M15" s="174">
        <v>0</v>
      </c>
      <c r="N15" s="174">
        <v>0</v>
      </c>
      <c r="O15" s="174">
        <v>0</v>
      </c>
      <c r="P15" s="174">
        <v>0</v>
      </c>
      <c r="Q15" s="173">
        <v>0.5</v>
      </c>
      <c r="R15" s="174">
        <v>0.5</v>
      </c>
      <c r="S15" s="174">
        <v>0.5</v>
      </c>
      <c r="T15" s="174">
        <v>0.5</v>
      </c>
      <c r="U15" s="174">
        <v>0.5</v>
      </c>
      <c r="V15" s="174">
        <v>0.5</v>
      </c>
      <c r="W15" s="174">
        <v>0.5</v>
      </c>
      <c r="X15" s="174">
        <v>0.5</v>
      </c>
      <c r="Y15" s="174">
        <v>0.5</v>
      </c>
      <c r="Z15" s="174">
        <v>0.5</v>
      </c>
      <c r="AA15" s="174">
        <v>0.5</v>
      </c>
      <c r="AB15" s="175">
        <v>0.5</v>
      </c>
      <c r="AC15" s="173">
        <v>0.25</v>
      </c>
      <c r="AD15" s="174">
        <v>0.15</v>
      </c>
      <c r="AE15" s="175">
        <v>0</v>
      </c>
    </row>
    <row r="16" spans="2:31" x14ac:dyDescent="0.3">
      <c r="B16" s="102" t="s">
        <v>13</v>
      </c>
      <c r="C16" s="3" t="str">
        <f t="shared" si="0"/>
        <v>Solar</v>
      </c>
      <c r="D16" s="3" t="s">
        <v>12</v>
      </c>
      <c r="E16" s="113">
        <v>0.1</v>
      </c>
      <c r="F16" s="114">
        <v>0.1</v>
      </c>
      <c r="G16" s="114">
        <v>0.1</v>
      </c>
      <c r="H16" s="114">
        <v>0.1</v>
      </c>
      <c r="I16" s="114">
        <v>0.1</v>
      </c>
      <c r="J16" s="117">
        <v>0.1</v>
      </c>
      <c r="K16" s="114">
        <v>0.1</v>
      </c>
      <c r="L16" s="114">
        <v>0.1</v>
      </c>
      <c r="M16" s="114">
        <v>0.1</v>
      </c>
      <c r="N16" s="114">
        <v>0.1</v>
      </c>
      <c r="O16" s="114">
        <v>0.1</v>
      </c>
      <c r="P16" s="114">
        <v>0.1</v>
      </c>
      <c r="Q16" s="113">
        <v>0.1</v>
      </c>
      <c r="R16" s="114">
        <v>0.1</v>
      </c>
      <c r="S16" s="114">
        <v>0.1</v>
      </c>
      <c r="T16" s="114">
        <v>0.1</v>
      </c>
      <c r="U16" s="114">
        <v>0.1</v>
      </c>
      <c r="V16" s="114">
        <v>0.1</v>
      </c>
      <c r="W16" s="114">
        <v>0.1</v>
      </c>
      <c r="X16" s="114">
        <v>0.1</v>
      </c>
      <c r="Y16" s="114">
        <v>0.1</v>
      </c>
      <c r="Z16" s="114">
        <v>0.1</v>
      </c>
      <c r="AA16" s="114">
        <v>0.1</v>
      </c>
      <c r="AB16" s="115">
        <v>0.1</v>
      </c>
      <c r="AC16" s="113">
        <v>0.1</v>
      </c>
      <c r="AD16" s="114">
        <v>0.1</v>
      </c>
      <c r="AE16" s="115">
        <v>0.1</v>
      </c>
    </row>
    <row r="17" spans="2:31" x14ac:dyDescent="0.3">
      <c r="B17" s="102" t="s">
        <v>14</v>
      </c>
      <c r="C17" s="3" t="str">
        <f t="shared" si="0"/>
        <v>Solar</v>
      </c>
      <c r="D17" s="3" t="s">
        <v>12</v>
      </c>
      <c r="E17" s="113">
        <v>0.05</v>
      </c>
      <c r="F17" s="114">
        <v>0.05</v>
      </c>
      <c r="G17" s="114">
        <v>0.05</v>
      </c>
      <c r="H17" s="114">
        <v>0.05</v>
      </c>
      <c r="I17" s="114">
        <v>0.05</v>
      </c>
      <c r="J17" s="117">
        <v>0.05</v>
      </c>
      <c r="K17" s="114">
        <v>0.05</v>
      </c>
      <c r="L17" s="114">
        <v>0.05</v>
      </c>
      <c r="M17" s="114">
        <v>0.05</v>
      </c>
      <c r="N17" s="114">
        <v>0.05</v>
      </c>
      <c r="O17" s="114">
        <v>0.05</v>
      </c>
      <c r="P17" s="114">
        <v>0.05</v>
      </c>
      <c r="Q17" s="113">
        <v>0.05</v>
      </c>
      <c r="R17" s="114">
        <v>0.05</v>
      </c>
      <c r="S17" s="114">
        <v>0.05</v>
      </c>
      <c r="T17" s="114">
        <v>0.05</v>
      </c>
      <c r="U17" s="114">
        <v>0.05</v>
      </c>
      <c r="V17" s="114">
        <v>0.05</v>
      </c>
      <c r="W17" s="114">
        <v>0.05</v>
      </c>
      <c r="X17" s="114">
        <v>0.05</v>
      </c>
      <c r="Y17" s="114">
        <v>0.05</v>
      </c>
      <c r="Z17" s="114">
        <v>0.05</v>
      </c>
      <c r="AA17" s="114">
        <v>0.05</v>
      </c>
      <c r="AB17" s="115">
        <v>0.05</v>
      </c>
      <c r="AC17" s="113">
        <v>0.05</v>
      </c>
      <c r="AD17" s="114">
        <v>0</v>
      </c>
      <c r="AE17" s="115">
        <v>0</v>
      </c>
    </row>
    <row r="18" spans="2:31" x14ac:dyDescent="0.3">
      <c r="B18" s="102" t="s">
        <v>15</v>
      </c>
      <c r="C18" s="3" t="str">
        <f t="shared" si="0"/>
        <v>Solar</v>
      </c>
      <c r="D18" s="3" t="s">
        <v>12</v>
      </c>
      <c r="E18" s="113">
        <v>0.15</v>
      </c>
      <c r="F18" s="114">
        <v>0.15</v>
      </c>
      <c r="G18" s="114">
        <v>0.15</v>
      </c>
      <c r="H18" s="114">
        <v>0.15</v>
      </c>
      <c r="I18" s="114">
        <v>0.15</v>
      </c>
      <c r="J18" s="117">
        <v>0.15</v>
      </c>
      <c r="K18" s="114">
        <v>0.15</v>
      </c>
      <c r="L18" s="114">
        <v>0.15</v>
      </c>
      <c r="M18" s="114">
        <v>0.15</v>
      </c>
      <c r="N18" s="114">
        <v>0.15</v>
      </c>
      <c r="O18" s="114">
        <v>0.15</v>
      </c>
      <c r="P18" s="114">
        <v>0.15</v>
      </c>
      <c r="Q18" s="113">
        <v>0.15</v>
      </c>
      <c r="R18" s="114">
        <v>0.15</v>
      </c>
      <c r="S18" s="114">
        <v>0.15</v>
      </c>
      <c r="T18" s="114">
        <v>0.15</v>
      </c>
      <c r="U18" s="114">
        <v>0.15</v>
      </c>
      <c r="V18" s="114">
        <v>0.15</v>
      </c>
      <c r="W18" s="114">
        <v>0.15</v>
      </c>
      <c r="X18" s="114">
        <v>0.15</v>
      </c>
      <c r="Y18" s="114">
        <v>0.15</v>
      </c>
      <c r="Z18" s="114">
        <v>0.15</v>
      </c>
      <c r="AA18" s="114">
        <v>0.15</v>
      </c>
      <c r="AB18" s="115">
        <v>0.15</v>
      </c>
      <c r="AC18" s="113">
        <v>0.15</v>
      </c>
      <c r="AD18" s="114">
        <v>0.15</v>
      </c>
      <c r="AE18" s="115">
        <v>0.15</v>
      </c>
    </row>
    <row r="19" spans="2:31" x14ac:dyDescent="0.3">
      <c r="B19" s="102" t="s">
        <v>16</v>
      </c>
      <c r="C19" s="3" t="str">
        <f t="shared" si="0"/>
        <v>Solar</v>
      </c>
      <c r="D19" s="3" t="s">
        <v>12</v>
      </c>
      <c r="E19" s="113">
        <v>0.1</v>
      </c>
      <c r="F19" s="114">
        <v>0.1</v>
      </c>
      <c r="G19" s="114">
        <v>0.1</v>
      </c>
      <c r="H19" s="114">
        <v>0.1</v>
      </c>
      <c r="I19" s="114">
        <v>0.1</v>
      </c>
      <c r="J19" s="115">
        <v>0.1</v>
      </c>
      <c r="K19" s="114">
        <v>0.1</v>
      </c>
      <c r="L19" s="114">
        <v>0.1</v>
      </c>
      <c r="M19" s="114">
        <v>0.1</v>
      </c>
      <c r="N19" s="114">
        <v>0.1</v>
      </c>
      <c r="O19" s="114">
        <v>0.1</v>
      </c>
      <c r="P19" s="114">
        <v>0.1</v>
      </c>
      <c r="Q19" s="113">
        <v>0.1</v>
      </c>
      <c r="R19" s="114">
        <v>0.1</v>
      </c>
      <c r="S19" s="114">
        <v>0.1</v>
      </c>
      <c r="T19" s="114">
        <v>0.1</v>
      </c>
      <c r="U19" s="114">
        <v>0.1</v>
      </c>
      <c r="V19" s="114">
        <v>0.1</v>
      </c>
      <c r="W19" s="114">
        <v>0.1</v>
      </c>
      <c r="X19" s="114">
        <v>0.1</v>
      </c>
      <c r="Y19" s="114">
        <v>0.1</v>
      </c>
      <c r="Z19" s="114">
        <v>0.1</v>
      </c>
      <c r="AA19" s="114">
        <v>0.1</v>
      </c>
      <c r="AB19" s="115">
        <v>0.1</v>
      </c>
      <c r="AC19" s="113">
        <v>0.1</v>
      </c>
      <c r="AD19" s="114">
        <v>0.1</v>
      </c>
      <c r="AE19" s="115">
        <v>0.1</v>
      </c>
    </row>
    <row r="20" spans="2:31" ht="15" thickBot="1" x14ac:dyDescent="0.35">
      <c r="B20" s="102" t="s">
        <v>18</v>
      </c>
      <c r="C20" s="3" t="str">
        <f t="shared" si="0"/>
        <v>Solar</v>
      </c>
      <c r="D20" s="3" t="s">
        <v>12</v>
      </c>
      <c r="E20" s="118">
        <v>0.1</v>
      </c>
      <c r="F20" s="119">
        <v>0.1</v>
      </c>
      <c r="G20" s="119">
        <v>0.1</v>
      </c>
      <c r="H20" s="119">
        <v>0.1</v>
      </c>
      <c r="I20" s="119">
        <v>0.1</v>
      </c>
      <c r="J20" s="120">
        <v>0.1</v>
      </c>
      <c r="K20" s="114">
        <v>0.1</v>
      </c>
      <c r="L20" s="114">
        <v>0.1</v>
      </c>
      <c r="M20" s="114">
        <v>0.1</v>
      </c>
      <c r="N20" s="114">
        <v>0.1</v>
      </c>
      <c r="O20" s="114">
        <v>0.1</v>
      </c>
      <c r="P20" s="114">
        <v>0.1</v>
      </c>
      <c r="Q20" s="118">
        <v>0.1</v>
      </c>
      <c r="R20" s="119">
        <v>0.1</v>
      </c>
      <c r="S20" s="119">
        <v>0.1</v>
      </c>
      <c r="T20" s="119">
        <v>0.1</v>
      </c>
      <c r="U20" s="119">
        <v>0.1</v>
      </c>
      <c r="V20" s="119">
        <v>0.1</v>
      </c>
      <c r="W20" s="119">
        <v>0.1</v>
      </c>
      <c r="X20" s="119">
        <v>0.1</v>
      </c>
      <c r="Y20" s="119">
        <v>0.1</v>
      </c>
      <c r="Z20" s="119">
        <v>0.1</v>
      </c>
      <c r="AA20" s="119">
        <v>0.1</v>
      </c>
      <c r="AB20" s="120">
        <v>0.1</v>
      </c>
      <c r="AC20" s="113">
        <v>0.1</v>
      </c>
      <c r="AD20" s="114">
        <v>0.1</v>
      </c>
      <c r="AE20" s="115">
        <v>0.1</v>
      </c>
    </row>
    <row r="21" spans="2:31" ht="14.25" customHeight="1" x14ac:dyDescent="0.3">
      <c r="B21"/>
      <c r="C21"/>
      <c r="D21"/>
    </row>
    <row r="22" spans="2:31" x14ac:dyDescent="0.3">
      <c r="C22" s="6"/>
      <c r="D22" s="6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</row>
    <row r="49" s="5" customFormat="1" x14ac:dyDescent="0.3"/>
    <row r="50" s="5" customFormat="1" x14ac:dyDescent="0.3"/>
    <row r="51" s="5" customFormat="1" x14ac:dyDescent="0.3"/>
    <row r="52" s="5" customFormat="1" x14ac:dyDescent="0.3"/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B16F24-7FFF-49FB-9590-B202016F7B1F}">
          <x14:formula1>
            <xm:f>'Duration Table'!$C$7:$C$17</xm:f>
          </x14:formula1>
          <xm:sqref>C2:J2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8961-D9C4-4387-8126-7194922DC5F3}">
  <sheetPr>
    <tabColor rgb="FF0070C0"/>
  </sheetPr>
  <dimension ref="B1:AE52"/>
  <sheetViews>
    <sheetView zoomScaleNormal="100" workbookViewId="0">
      <selection activeCell="E15" sqref="E15:AE15"/>
    </sheetView>
  </sheetViews>
  <sheetFormatPr defaultColWidth="9.109375" defaultRowHeight="14.4" x14ac:dyDescent="0.3"/>
  <cols>
    <col min="1" max="1" width="3.5546875" style="5" customWidth="1"/>
    <col min="2" max="2" width="39.44140625" style="5" customWidth="1"/>
    <col min="3" max="3" width="26.33203125" style="5" customWidth="1"/>
    <col min="4" max="4" width="23.109375" style="5" customWidth="1"/>
    <col min="5" max="10" width="5.44140625" style="5" bestFit="1" customWidth="1"/>
    <col min="11" max="28" width="6" style="5" bestFit="1" customWidth="1"/>
    <col min="29" max="31" width="5.44140625" style="5" customWidth="1"/>
    <col min="32" max="16384" width="9.109375" style="5"/>
  </cols>
  <sheetData>
    <row r="1" spans="2:31" ht="139.94999999999999" customHeight="1" thickBot="1" x14ac:dyDescent="0.35"/>
    <row r="2" spans="2:31" ht="24" thickBot="1" x14ac:dyDescent="0.5">
      <c r="B2" s="143" t="s">
        <v>148</v>
      </c>
      <c r="C2" s="177" t="s">
        <v>27</v>
      </c>
      <c r="D2" s="178"/>
      <c r="E2" s="178"/>
      <c r="F2" s="178"/>
      <c r="G2" s="178"/>
      <c r="H2" s="178"/>
      <c r="I2" s="178"/>
      <c r="J2" s="179"/>
    </row>
    <row r="3" spans="2:31" ht="15" thickBot="1" x14ac:dyDescent="0.35"/>
    <row r="4" spans="2:31" ht="16.2" thickBot="1" x14ac:dyDescent="0.35">
      <c r="B4" s="99" t="s">
        <v>73</v>
      </c>
      <c r="C4" s="73" t="s">
        <v>123</v>
      </c>
      <c r="D4" s="126" t="s">
        <v>64</v>
      </c>
      <c r="E4" s="180" t="s">
        <v>25</v>
      </c>
      <c r="F4" s="181"/>
      <c r="G4" s="181"/>
      <c r="H4" s="181"/>
      <c r="I4" s="181"/>
      <c r="J4" s="182"/>
      <c r="K4" s="183" t="s">
        <v>0</v>
      </c>
      <c r="L4" s="184"/>
      <c r="M4" s="184"/>
      <c r="N4" s="184"/>
      <c r="O4" s="184"/>
      <c r="P4" s="185"/>
      <c r="Q4" s="186" t="s">
        <v>1</v>
      </c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8"/>
      <c r="AC4" s="189" t="s">
        <v>26</v>
      </c>
      <c r="AD4" s="190"/>
      <c r="AE4" s="191"/>
    </row>
    <row r="5" spans="2:31" ht="15" hidden="1" thickBot="1" x14ac:dyDescent="0.35">
      <c r="B5" s="6" t="s">
        <v>114</v>
      </c>
      <c r="C5" s="43" t="s">
        <v>116</v>
      </c>
      <c r="D5" s="43" t="s">
        <v>117</v>
      </c>
      <c r="E5" s="3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4" t="s">
        <v>79</v>
      </c>
      <c r="K5" s="3" t="s">
        <v>80</v>
      </c>
      <c r="L5" s="38" t="s">
        <v>81</v>
      </c>
      <c r="M5" s="38" t="s">
        <v>82</v>
      </c>
      <c r="N5" s="38" t="s">
        <v>83</v>
      </c>
      <c r="O5" s="38" t="s">
        <v>84</v>
      </c>
      <c r="P5" s="4" t="s">
        <v>85</v>
      </c>
      <c r="Q5" s="3" t="s">
        <v>86</v>
      </c>
      <c r="R5" s="38" t="s">
        <v>87</v>
      </c>
      <c r="S5" s="38" t="s">
        <v>88</v>
      </c>
      <c r="T5" s="38" t="s">
        <v>89</v>
      </c>
      <c r="U5" s="38" t="s">
        <v>90</v>
      </c>
      <c r="V5" s="38" t="s">
        <v>91</v>
      </c>
      <c r="W5" s="38" t="s">
        <v>92</v>
      </c>
      <c r="X5" s="38" t="s">
        <v>93</v>
      </c>
      <c r="Y5" s="38" t="s">
        <v>94</v>
      </c>
      <c r="Z5" s="38" t="s">
        <v>95</v>
      </c>
      <c r="AA5" s="38" t="s">
        <v>96</v>
      </c>
      <c r="AB5" s="4" t="s">
        <v>97</v>
      </c>
      <c r="AC5" s="38" t="s">
        <v>98</v>
      </c>
      <c r="AD5" s="38" t="s">
        <v>99</v>
      </c>
      <c r="AE5" s="38" t="s">
        <v>100</v>
      </c>
    </row>
    <row r="6" spans="2:31" x14ac:dyDescent="0.3">
      <c r="B6" s="101" t="s">
        <v>3</v>
      </c>
      <c r="C6" s="98" t="str">
        <f>$C$2</f>
        <v>BESS</v>
      </c>
      <c r="D6" s="98" t="s">
        <v>2</v>
      </c>
      <c r="E6" s="108">
        <v>0.25</v>
      </c>
      <c r="F6" s="109">
        <v>0.25</v>
      </c>
      <c r="G6" s="109">
        <v>0.25</v>
      </c>
      <c r="H6" s="109">
        <v>0.45</v>
      </c>
      <c r="I6" s="109">
        <v>0.45</v>
      </c>
      <c r="J6" s="112">
        <v>0.45</v>
      </c>
      <c r="K6" s="123">
        <v>0.65</v>
      </c>
      <c r="L6" s="111">
        <v>0.65</v>
      </c>
      <c r="M6" s="111">
        <v>0.65</v>
      </c>
      <c r="N6" s="111">
        <v>0.85</v>
      </c>
      <c r="O6" s="111">
        <v>0.85</v>
      </c>
      <c r="P6" s="112">
        <v>0.85</v>
      </c>
      <c r="Q6" s="123">
        <v>0.85</v>
      </c>
      <c r="R6" s="111">
        <v>0.85</v>
      </c>
      <c r="S6" s="111">
        <v>0.85</v>
      </c>
      <c r="T6" s="111">
        <v>0.85</v>
      </c>
      <c r="U6" s="111">
        <v>0.85</v>
      </c>
      <c r="V6" s="111">
        <v>0.85</v>
      </c>
      <c r="W6" s="111">
        <v>0.85</v>
      </c>
      <c r="X6" s="111">
        <v>0.85</v>
      </c>
      <c r="Y6" s="111">
        <v>0.85</v>
      </c>
      <c r="Z6" s="111">
        <v>0.85</v>
      </c>
      <c r="AA6" s="111">
        <v>0.85</v>
      </c>
      <c r="AB6" s="112">
        <v>0.85</v>
      </c>
      <c r="AC6" s="109">
        <v>0.5</v>
      </c>
      <c r="AD6" s="109">
        <v>0.4</v>
      </c>
      <c r="AE6" s="110">
        <v>0.25</v>
      </c>
    </row>
    <row r="7" spans="2:31" x14ac:dyDescent="0.3">
      <c r="B7" s="102" t="s">
        <v>4</v>
      </c>
      <c r="C7" s="3" t="str">
        <f t="shared" ref="C7:C20" si="0">$C$2</f>
        <v>BESS</v>
      </c>
      <c r="D7" s="3" t="s">
        <v>2</v>
      </c>
      <c r="E7" s="113">
        <v>0.05</v>
      </c>
      <c r="F7" s="114">
        <v>0.05</v>
      </c>
      <c r="G7" s="114">
        <v>0.05</v>
      </c>
      <c r="H7" s="114">
        <v>0.05</v>
      </c>
      <c r="I7" s="114">
        <v>0.05</v>
      </c>
      <c r="J7" s="115">
        <v>0.05</v>
      </c>
      <c r="K7" s="113">
        <v>0.05</v>
      </c>
      <c r="L7" s="114">
        <v>0.05</v>
      </c>
      <c r="M7" s="114">
        <v>0.05</v>
      </c>
      <c r="N7" s="114">
        <v>0.05</v>
      </c>
      <c r="O7" s="114">
        <v>0.05</v>
      </c>
      <c r="P7" s="115">
        <v>0.05</v>
      </c>
      <c r="Q7" s="113">
        <v>0.05</v>
      </c>
      <c r="R7" s="114">
        <v>0.05</v>
      </c>
      <c r="S7" s="114">
        <v>0.05</v>
      </c>
      <c r="T7" s="114">
        <v>0.05</v>
      </c>
      <c r="U7" s="114">
        <v>0.05</v>
      </c>
      <c r="V7" s="114">
        <v>0.05</v>
      </c>
      <c r="W7" s="114">
        <v>0.05</v>
      </c>
      <c r="X7" s="114">
        <v>0.05</v>
      </c>
      <c r="Y7" s="114">
        <v>0.05</v>
      </c>
      <c r="Z7" s="114">
        <v>0.05</v>
      </c>
      <c r="AA7" s="114">
        <v>0.05</v>
      </c>
      <c r="AB7" s="115">
        <v>0.05</v>
      </c>
      <c r="AC7" s="114">
        <v>0.05</v>
      </c>
      <c r="AD7" s="114">
        <v>0.05</v>
      </c>
      <c r="AE7" s="115">
        <v>0.05</v>
      </c>
    </row>
    <row r="8" spans="2:31" ht="15" thickBot="1" x14ac:dyDescent="0.35">
      <c r="B8" s="106" t="s">
        <v>5</v>
      </c>
      <c r="C8" s="20" t="str">
        <f t="shared" si="0"/>
        <v>BESS</v>
      </c>
      <c r="D8" s="20" t="s">
        <v>2</v>
      </c>
      <c r="E8" s="118">
        <v>0.05</v>
      </c>
      <c r="F8" s="119">
        <v>0.05</v>
      </c>
      <c r="G8" s="119">
        <v>0.1</v>
      </c>
      <c r="H8" s="119">
        <v>0.1</v>
      </c>
      <c r="I8" s="119">
        <v>0.15</v>
      </c>
      <c r="J8" s="122">
        <v>0.15</v>
      </c>
      <c r="K8" s="125">
        <v>0.25</v>
      </c>
      <c r="L8" s="121">
        <v>0.25</v>
      </c>
      <c r="M8" s="121">
        <v>0.25</v>
      </c>
      <c r="N8" s="121">
        <v>0.25</v>
      </c>
      <c r="O8" s="121">
        <v>0.25</v>
      </c>
      <c r="P8" s="122">
        <v>0.25</v>
      </c>
      <c r="Q8" s="125">
        <v>0.25</v>
      </c>
      <c r="R8" s="121">
        <v>0.25</v>
      </c>
      <c r="S8" s="121">
        <v>0.25</v>
      </c>
      <c r="T8" s="121">
        <v>0.25</v>
      </c>
      <c r="U8" s="121">
        <v>0.25</v>
      </c>
      <c r="V8" s="121">
        <v>0.25</v>
      </c>
      <c r="W8" s="121">
        <v>0.25</v>
      </c>
      <c r="X8" s="121">
        <v>0.25</v>
      </c>
      <c r="Y8" s="121">
        <v>0.25</v>
      </c>
      <c r="Z8" s="121">
        <v>0.25</v>
      </c>
      <c r="AA8" s="121">
        <v>0.25</v>
      </c>
      <c r="AB8" s="122">
        <v>0.25</v>
      </c>
      <c r="AC8" s="121">
        <v>0.25</v>
      </c>
      <c r="AD8" s="121">
        <v>0.25</v>
      </c>
      <c r="AE8" s="122">
        <v>0.25</v>
      </c>
    </row>
    <row r="9" spans="2:31" x14ac:dyDescent="0.3">
      <c r="B9" s="101" t="s">
        <v>132</v>
      </c>
      <c r="C9" s="98" t="str">
        <f t="shared" si="0"/>
        <v>BESS</v>
      </c>
      <c r="D9" s="98" t="s">
        <v>6</v>
      </c>
      <c r="E9" s="113">
        <v>0.05</v>
      </c>
      <c r="F9" s="114">
        <v>0.05</v>
      </c>
      <c r="G9" s="114">
        <v>0.05</v>
      </c>
      <c r="H9" s="114">
        <v>0.05</v>
      </c>
      <c r="I9" s="114">
        <v>0.05</v>
      </c>
      <c r="J9" s="115">
        <v>0.05</v>
      </c>
      <c r="K9" s="124">
        <v>0.1</v>
      </c>
      <c r="L9" s="116">
        <v>0.1</v>
      </c>
      <c r="M9" s="116">
        <v>0.1</v>
      </c>
      <c r="N9" s="116">
        <v>0.1</v>
      </c>
      <c r="O9" s="116">
        <v>0.1</v>
      </c>
      <c r="P9" s="117">
        <v>0.1</v>
      </c>
      <c r="Q9" s="124">
        <v>0.1</v>
      </c>
      <c r="R9" s="116">
        <v>0.1</v>
      </c>
      <c r="S9" s="116">
        <v>0.1</v>
      </c>
      <c r="T9" s="116">
        <v>0.1</v>
      </c>
      <c r="U9" s="116">
        <v>0.1</v>
      </c>
      <c r="V9" s="116">
        <v>0.1</v>
      </c>
      <c r="W9" s="116">
        <v>0.1</v>
      </c>
      <c r="X9" s="116">
        <v>0.1</v>
      </c>
      <c r="Y9" s="116">
        <v>0.1</v>
      </c>
      <c r="Z9" s="116">
        <v>0.1</v>
      </c>
      <c r="AA9" s="116">
        <v>0.1</v>
      </c>
      <c r="AB9" s="117">
        <v>0.1</v>
      </c>
      <c r="AC9" s="114">
        <v>0.05</v>
      </c>
      <c r="AD9" s="114">
        <v>0.05</v>
      </c>
      <c r="AE9" s="114">
        <v>0</v>
      </c>
    </row>
    <row r="10" spans="2:31" x14ac:dyDescent="0.3">
      <c r="B10" s="102" t="s">
        <v>163</v>
      </c>
      <c r="C10" s="3" t="str">
        <f t="shared" si="0"/>
        <v>BESS</v>
      </c>
      <c r="D10" s="3" t="s">
        <v>6</v>
      </c>
      <c r="E10" s="113">
        <v>0.05</v>
      </c>
      <c r="F10" s="114">
        <v>0.05</v>
      </c>
      <c r="G10" s="114">
        <v>0.05</v>
      </c>
      <c r="H10" s="114">
        <v>0.05</v>
      </c>
      <c r="I10" s="114">
        <v>0.05</v>
      </c>
      <c r="J10" s="115">
        <v>0.05</v>
      </c>
      <c r="K10" s="124">
        <v>0.1</v>
      </c>
      <c r="L10" s="116">
        <v>0.1</v>
      </c>
      <c r="M10" s="116">
        <v>0.1</v>
      </c>
      <c r="N10" s="116">
        <v>0.1</v>
      </c>
      <c r="O10" s="116">
        <v>0.1</v>
      </c>
      <c r="P10" s="117">
        <v>0.1</v>
      </c>
      <c r="Q10" s="124">
        <v>0.1</v>
      </c>
      <c r="R10" s="116">
        <v>0.1</v>
      </c>
      <c r="S10" s="116">
        <v>0.1</v>
      </c>
      <c r="T10" s="116">
        <v>0.1</v>
      </c>
      <c r="U10" s="116">
        <v>0.1</v>
      </c>
      <c r="V10" s="116">
        <v>0.1</v>
      </c>
      <c r="W10" s="116">
        <v>0.1</v>
      </c>
      <c r="X10" s="116">
        <v>0.1</v>
      </c>
      <c r="Y10" s="116">
        <v>0.1</v>
      </c>
      <c r="Z10" s="116">
        <v>0.1</v>
      </c>
      <c r="AA10" s="116">
        <v>0.1</v>
      </c>
      <c r="AB10" s="117">
        <v>0.1</v>
      </c>
      <c r="AC10" s="114">
        <v>0.05</v>
      </c>
      <c r="AD10" s="114">
        <v>0.05</v>
      </c>
      <c r="AE10" s="114">
        <v>0</v>
      </c>
    </row>
    <row r="11" spans="2:31" x14ac:dyDescent="0.3">
      <c r="B11" s="102" t="s">
        <v>164</v>
      </c>
      <c r="C11" s="3" t="str">
        <f t="shared" si="0"/>
        <v>BESS</v>
      </c>
      <c r="D11" s="3" t="s">
        <v>6</v>
      </c>
      <c r="E11" s="113">
        <v>0.05</v>
      </c>
      <c r="F11" s="114">
        <v>0.05</v>
      </c>
      <c r="G11" s="114">
        <v>0.05</v>
      </c>
      <c r="H11" s="114">
        <v>0.05</v>
      </c>
      <c r="I11" s="114">
        <v>0.05</v>
      </c>
      <c r="J11" s="115">
        <v>0.05</v>
      </c>
      <c r="K11" s="124">
        <v>0.1</v>
      </c>
      <c r="L11" s="116">
        <v>0.1</v>
      </c>
      <c r="M11" s="116">
        <v>0.1</v>
      </c>
      <c r="N11" s="116">
        <v>0.1</v>
      </c>
      <c r="O11" s="116">
        <v>0.1</v>
      </c>
      <c r="P11" s="117">
        <v>0.1</v>
      </c>
      <c r="Q11" s="124">
        <v>0.1</v>
      </c>
      <c r="R11" s="116">
        <v>0.1</v>
      </c>
      <c r="S11" s="116">
        <v>0.1</v>
      </c>
      <c r="T11" s="116">
        <v>0.1</v>
      </c>
      <c r="U11" s="116">
        <v>0.1</v>
      </c>
      <c r="V11" s="116">
        <v>0.1</v>
      </c>
      <c r="W11" s="116">
        <v>0.1</v>
      </c>
      <c r="X11" s="116">
        <v>0.1</v>
      </c>
      <c r="Y11" s="116">
        <v>0.1</v>
      </c>
      <c r="Z11" s="116">
        <v>0.1</v>
      </c>
      <c r="AA11" s="116">
        <v>0.1</v>
      </c>
      <c r="AB11" s="117">
        <v>0.1</v>
      </c>
      <c r="AC11" s="114">
        <v>0.05</v>
      </c>
      <c r="AD11" s="114">
        <v>0.05</v>
      </c>
      <c r="AE11" s="114">
        <v>0</v>
      </c>
    </row>
    <row r="12" spans="2:31" x14ac:dyDescent="0.3">
      <c r="B12" s="102" t="s">
        <v>120</v>
      </c>
      <c r="C12" s="3" t="str">
        <f t="shared" si="0"/>
        <v>BESS</v>
      </c>
      <c r="D12" s="3" t="s">
        <v>6</v>
      </c>
      <c r="E12" s="113">
        <v>0.05</v>
      </c>
      <c r="F12" s="114">
        <v>0.05</v>
      </c>
      <c r="G12" s="114">
        <v>0.05</v>
      </c>
      <c r="H12" s="114">
        <v>0.05</v>
      </c>
      <c r="I12" s="114">
        <v>0.05</v>
      </c>
      <c r="J12" s="115">
        <v>0.05</v>
      </c>
      <c r="K12" s="124">
        <v>0.1</v>
      </c>
      <c r="L12" s="116">
        <v>0.1</v>
      </c>
      <c r="M12" s="116">
        <v>0.1</v>
      </c>
      <c r="N12" s="116">
        <v>0.1</v>
      </c>
      <c r="O12" s="116">
        <v>0.1</v>
      </c>
      <c r="P12" s="117">
        <v>0.1</v>
      </c>
      <c r="Q12" s="124">
        <v>0.1</v>
      </c>
      <c r="R12" s="116">
        <v>0.1</v>
      </c>
      <c r="S12" s="116">
        <v>0.1</v>
      </c>
      <c r="T12" s="116">
        <v>0.1</v>
      </c>
      <c r="U12" s="116">
        <v>0.1</v>
      </c>
      <c r="V12" s="116">
        <v>0.1</v>
      </c>
      <c r="W12" s="116">
        <v>0.1</v>
      </c>
      <c r="X12" s="116">
        <v>0.1</v>
      </c>
      <c r="Y12" s="116">
        <v>0.1</v>
      </c>
      <c r="Z12" s="116">
        <v>0.1</v>
      </c>
      <c r="AA12" s="116">
        <v>0.1</v>
      </c>
      <c r="AB12" s="117">
        <v>0.1</v>
      </c>
      <c r="AC12" s="114">
        <v>0.05</v>
      </c>
      <c r="AD12" s="114">
        <v>0.05</v>
      </c>
      <c r="AE12" s="114">
        <v>0</v>
      </c>
    </row>
    <row r="13" spans="2:31" ht="15" thickBot="1" x14ac:dyDescent="0.35">
      <c r="B13" s="106" t="s">
        <v>162</v>
      </c>
      <c r="C13" s="20" t="str">
        <f t="shared" si="0"/>
        <v>BESS</v>
      </c>
      <c r="D13" s="20" t="s">
        <v>6</v>
      </c>
      <c r="E13" s="113">
        <v>0.05</v>
      </c>
      <c r="F13" s="114">
        <v>0.05</v>
      </c>
      <c r="G13" s="114">
        <v>0.05</v>
      </c>
      <c r="H13" s="114">
        <v>0.05</v>
      </c>
      <c r="I13" s="114">
        <v>0.05</v>
      </c>
      <c r="J13" s="115">
        <v>0.05</v>
      </c>
      <c r="K13" s="124">
        <v>0.1</v>
      </c>
      <c r="L13" s="116">
        <v>0.1</v>
      </c>
      <c r="M13" s="116">
        <v>0.1</v>
      </c>
      <c r="N13" s="116">
        <v>0.1</v>
      </c>
      <c r="O13" s="116">
        <v>0.1</v>
      </c>
      <c r="P13" s="117">
        <v>0.1</v>
      </c>
      <c r="Q13" s="124">
        <v>0.1</v>
      </c>
      <c r="R13" s="116">
        <v>0.1</v>
      </c>
      <c r="S13" s="116">
        <v>0.1</v>
      </c>
      <c r="T13" s="116">
        <v>0.1</v>
      </c>
      <c r="U13" s="116">
        <v>0.1</v>
      </c>
      <c r="V13" s="116">
        <v>0.1</v>
      </c>
      <c r="W13" s="116">
        <v>0.1</v>
      </c>
      <c r="X13" s="116">
        <v>0.1</v>
      </c>
      <c r="Y13" s="116">
        <v>0.1</v>
      </c>
      <c r="Z13" s="116">
        <v>0.1</v>
      </c>
      <c r="AA13" s="116">
        <v>0.1</v>
      </c>
      <c r="AB13" s="117">
        <v>0.1</v>
      </c>
      <c r="AC13" s="114">
        <v>0.05</v>
      </c>
      <c r="AD13" s="114">
        <v>0.05</v>
      </c>
      <c r="AE13" s="114">
        <v>0</v>
      </c>
    </row>
    <row r="14" spans="2:31" x14ac:dyDescent="0.3">
      <c r="B14" s="101" t="s">
        <v>9</v>
      </c>
      <c r="C14" s="98" t="str">
        <f t="shared" si="0"/>
        <v>BESS</v>
      </c>
      <c r="D14" s="98" t="s">
        <v>8</v>
      </c>
      <c r="E14" s="108">
        <v>0</v>
      </c>
      <c r="F14" s="109">
        <v>0</v>
      </c>
      <c r="G14" s="109">
        <v>0</v>
      </c>
      <c r="H14" s="109">
        <v>0.25</v>
      </c>
      <c r="I14" s="109">
        <v>0.25</v>
      </c>
      <c r="J14" s="112">
        <v>0.25</v>
      </c>
      <c r="K14" s="108">
        <v>0.5</v>
      </c>
      <c r="L14" s="109">
        <v>0.5</v>
      </c>
      <c r="M14" s="109">
        <v>0.5</v>
      </c>
      <c r="N14" s="109">
        <v>0.75</v>
      </c>
      <c r="O14" s="109">
        <v>0.75</v>
      </c>
      <c r="P14" s="109">
        <v>0.75</v>
      </c>
      <c r="Q14" s="108">
        <v>0.75</v>
      </c>
      <c r="R14" s="109">
        <v>0.75</v>
      </c>
      <c r="S14" s="109">
        <v>0.75</v>
      </c>
      <c r="T14" s="109">
        <v>0.75</v>
      </c>
      <c r="U14" s="109">
        <v>0.75</v>
      </c>
      <c r="V14" s="109">
        <v>0.75</v>
      </c>
      <c r="W14" s="109">
        <v>0.75</v>
      </c>
      <c r="X14" s="109">
        <v>0.75</v>
      </c>
      <c r="Y14" s="109">
        <v>0.75</v>
      </c>
      <c r="Z14" s="109">
        <v>0.75</v>
      </c>
      <c r="AA14" s="109">
        <v>0.75</v>
      </c>
      <c r="AB14" s="110">
        <v>0.75</v>
      </c>
      <c r="AC14" s="108">
        <v>0.5</v>
      </c>
      <c r="AD14" s="109">
        <v>0.4</v>
      </c>
      <c r="AE14" s="110">
        <v>0.25</v>
      </c>
    </row>
    <row r="15" spans="2:31" ht="15" thickBot="1" x14ac:dyDescent="0.35">
      <c r="B15" s="106" t="s">
        <v>10</v>
      </c>
      <c r="C15" s="20" t="str">
        <f t="shared" si="0"/>
        <v>BESS</v>
      </c>
      <c r="D15" s="20" t="s">
        <v>8</v>
      </c>
      <c r="E15" s="173">
        <v>0</v>
      </c>
      <c r="F15" s="174">
        <v>0</v>
      </c>
      <c r="G15" s="174">
        <v>0</v>
      </c>
      <c r="H15" s="174">
        <v>0</v>
      </c>
      <c r="I15" s="174">
        <v>0</v>
      </c>
      <c r="J15" s="122">
        <v>0</v>
      </c>
      <c r="K15" s="173">
        <v>0</v>
      </c>
      <c r="L15" s="174">
        <v>0</v>
      </c>
      <c r="M15" s="174">
        <v>0</v>
      </c>
      <c r="N15" s="174">
        <v>0</v>
      </c>
      <c r="O15" s="174">
        <v>0</v>
      </c>
      <c r="P15" s="174">
        <v>0</v>
      </c>
      <c r="Q15" s="173">
        <v>0.5</v>
      </c>
      <c r="R15" s="174">
        <v>0.5</v>
      </c>
      <c r="S15" s="174">
        <v>0.5</v>
      </c>
      <c r="T15" s="174">
        <v>0.5</v>
      </c>
      <c r="U15" s="174">
        <v>0.5</v>
      </c>
      <c r="V15" s="174">
        <v>0.5</v>
      </c>
      <c r="W15" s="174">
        <v>0.5</v>
      </c>
      <c r="X15" s="174">
        <v>0.5</v>
      </c>
      <c r="Y15" s="174">
        <v>0.5</v>
      </c>
      <c r="Z15" s="174">
        <v>0.5</v>
      </c>
      <c r="AA15" s="174">
        <v>0.5</v>
      </c>
      <c r="AB15" s="175">
        <v>0.5</v>
      </c>
      <c r="AC15" s="173">
        <v>0.25</v>
      </c>
      <c r="AD15" s="174">
        <v>0.15</v>
      </c>
      <c r="AE15" s="175">
        <v>0</v>
      </c>
    </row>
    <row r="16" spans="2:31" x14ac:dyDescent="0.3">
      <c r="B16" s="102" t="s">
        <v>13</v>
      </c>
      <c r="C16" s="3" t="str">
        <f t="shared" si="0"/>
        <v>BESS</v>
      </c>
      <c r="D16" s="3" t="s">
        <v>12</v>
      </c>
      <c r="E16" s="113">
        <v>0.1</v>
      </c>
      <c r="F16" s="114">
        <v>0.1</v>
      </c>
      <c r="G16" s="114">
        <v>0.1</v>
      </c>
      <c r="H16" s="114">
        <v>0.1</v>
      </c>
      <c r="I16" s="114">
        <v>0.1</v>
      </c>
      <c r="J16" s="117">
        <v>0.1</v>
      </c>
      <c r="K16" s="114">
        <v>0.1</v>
      </c>
      <c r="L16" s="114">
        <v>0.1</v>
      </c>
      <c r="M16" s="114">
        <v>0.1</v>
      </c>
      <c r="N16" s="114">
        <v>0.1</v>
      </c>
      <c r="O16" s="114">
        <v>0.1</v>
      </c>
      <c r="P16" s="114">
        <v>0.1</v>
      </c>
      <c r="Q16" s="113">
        <v>0.1</v>
      </c>
      <c r="R16" s="114">
        <v>0.1</v>
      </c>
      <c r="S16" s="114">
        <v>0.1</v>
      </c>
      <c r="T16" s="114">
        <v>0.1</v>
      </c>
      <c r="U16" s="114">
        <v>0.1</v>
      </c>
      <c r="V16" s="114">
        <v>0.1</v>
      </c>
      <c r="W16" s="114">
        <v>0.1</v>
      </c>
      <c r="X16" s="114">
        <v>0.1</v>
      </c>
      <c r="Y16" s="114">
        <v>0.1</v>
      </c>
      <c r="Z16" s="114">
        <v>0.1</v>
      </c>
      <c r="AA16" s="114">
        <v>0.1</v>
      </c>
      <c r="AB16" s="115">
        <v>0.1</v>
      </c>
      <c r="AC16" s="113">
        <v>0.1</v>
      </c>
      <c r="AD16" s="114">
        <v>0.1</v>
      </c>
      <c r="AE16" s="115">
        <v>0.1</v>
      </c>
    </row>
    <row r="17" spans="2:31" x14ac:dyDescent="0.3">
      <c r="B17" s="102" t="s">
        <v>14</v>
      </c>
      <c r="C17" s="3" t="str">
        <f t="shared" si="0"/>
        <v>BESS</v>
      </c>
      <c r="D17" s="3" t="s">
        <v>12</v>
      </c>
      <c r="E17" s="113">
        <v>0.05</v>
      </c>
      <c r="F17" s="114">
        <v>0.05</v>
      </c>
      <c r="G17" s="114">
        <v>0.05</v>
      </c>
      <c r="H17" s="114">
        <v>0.05</v>
      </c>
      <c r="I17" s="114">
        <v>0.05</v>
      </c>
      <c r="J17" s="117">
        <v>0.05</v>
      </c>
      <c r="K17" s="114">
        <v>0.05</v>
      </c>
      <c r="L17" s="114">
        <v>0.05</v>
      </c>
      <c r="M17" s="114">
        <v>0.05</v>
      </c>
      <c r="N17" s="114">
        <v>0.05</v>
      </c>
      <c r="O17" s="114">
        <v>0.05</v>
      </c>
      <c r="P17" s="114">
        <v>0.05</v>
      </c>
      <c r="Q17" s="113">
        <v>0.05</v>
      </c>
      <c r="R17" s="114">
        <v>0.05</v>
      </c>
      <c r="S17" s="114">
        <v>0.05</v>
      </c>
      <c r="T17" s="114">
        <v>0.05</v>
      </c>
      <c r="U17" s="114">
        <v>0.05</v>
      </c>
      <c r="V17" s="114">
        <v>0.05</v>
      </c>
      <c r="W17" s="114">
        <v>0.05</v>
      </c>
      <c r="X17" s="114">
        <v>0.05</v>
      </c>
      <c r="Y17" s="114">
        <v>0.05</v>
      </c>
      <c r="Z17" s="114">
        <v>0.05</v>
      </c>
      <c r="AA17" s="114">
        <v>0.05</v>
      </c>
      <c r="AB17" s="115">
        <v>0.05</v>
      </c>
      <c r="AC17" s="113">
        <v>0.05</v>
      </c>
      <c r="AD17" s="114">
        <v>0</v>
      </c>
      <c r="AE17" s="115">
        <v>0</v>
      </c>
    </row>
    <row r="18" spans="2:31" x14ac:dyDescent="0.3">
      <c r="B18" s="102" t="s">
        <v>15</v>
      </c>
      <c r="C18" s="3" t="str">
        <f t="shared" si="0"/>
        <v>BESS</v>
      </c>
      <c r="D18" s="3" t="s">
        <v>12</v>
      </c>
      <c r="E18" s="113">
        <v>0.15</v>
      </c>
      <c r="F18" s="114">
        <v>0.15</v>
      </c>
      <c r="G18" s="114">
        <v>0.15</v>
      </c>
      <c r="H18" s="114">
        <v>0.15</v>
      </c>
      <c r="I18" s="114">
        <v>0.15</v>
      </c>
      <c r="J18" s="117">
        <v>0.15</v>
      </c>
      <c r="K18" s="114">
        <v>0.15</v>
      </c>
      <c r="L18" s="114">
        <v>0.15</v>
      </c>
      <c r="M18" s="114">
        <v>0.15</v>
      </c>
      <c r="N18" s="114">
        <v>0.15</v>
      </c>
      <c r="O18" s="114">
        <v>0.15</v>
      </c>
      <c r="P18" s="114">
        <v>0.15</v>
      </c>
      <c r="Q18" s="113">
        <v>0.15</v>
      </c>
      <c r="R18" s="114">
        <v>0.15</v>
      </c>
      <c r="S18" s="114">
        <v>0.15</v>
      </c>
      <c r="T18" s="114">
        <v>0.15</v>
      </c>
      <c r="U18" s="114">
        <v>0.15</v>
      </c>
      <c r="V18" s="114">
        <v>0.15</v>
      </c>
      <c r="W18" s="114">
        <v>0.15</v>
      </c>
      <c r="X18" s="114">
        <v>0.15</v>
      </c>
      <c r="Y18" s="114">
        <v>0.15</v>
      </c>
      <c r="Z18" s="114">
        <v>0.15</v>
      </c>
      <c r="AA18" s="114">
        <v>0.15</v>
      </c>
      <c r="AB18" s="115">
        <v>0.15</v>
      </c>
      <c r="AC18" s="113">
        <v>0.15</v>
      </c>
      <c r="AD18" s="114">
        <v>0.15</v>
      </c>
      <c r="AE18" s="115">
        <v>0.15</v>
      </c>
    </row>
    <row r="19" spans="2:31" x14ac:dyDescent="0.3">
      <c r="B19" s="102" t="s">
        <v>16</v>
      </c>
      <c r="C19" s="3" t="str">
        <f t="shared" si="0"/>
        <v>BESS</v>
      </c>
      <c r="D19" s="3" t="s">
        <v>12</v>
      </c>
      <c r="E19" s="113">
        <v>0.1</v>
      </c>
      <c r="F19" s="114">
        <v>0.1</v>
      </c>
      <c r="G19" s="114">
        <v>0.1</v>
      </c>
      <c r="H19" s="114">
        <v>0.1</v>
      </c>
      <c r="I19" s="114">
        <v>0.1</v>
      </c>
      <c r="J19" s="115">
        <v>0.1</v>
      </c>
      <c r="K19" s="114">
        <v>0.1</v>
      </c>
      <c r="L19" s="114">
        <v>0.1</v>
      </c>
      <c r="M19" s="114">
        <v>0.1</v>
      </c>
      <c r="N19" s="114">
        <v>0.1</v>
      </c>
      <c r="O19" s="114">
        <v>0.1</v>
      </c>
      <c r="P19" s="114">
        <v>0.1</v>
      </c>
      <c r="Q19" s="113">
        <v>0.1</v>
      </c>
      <c r="R19" s="114">
        <v>0.1</v>
      </c>
      <c r="S19" s="114">
        <v>0.1</v>
      </c>
      <c r="T19" s="114">
        <v>0.1</v>
      </c>
      <c r="U19" s="114">
        <v>0.1</v>
      </c>
      <c r="V19" s="114">
        <v>0.1</v>
      </c>
      <c r="W19" s="114">
        <v>0.1</v>
      </c>
      <c r="X19" s="114">
        <v>0.1</v>
      </c>
      <c r="Y19" s="114">
        <v>0.1</v>
      </c>
      <c r="Z19" s="114">
        <v>0.1</v>
      </c>
      <c r="AA19" s="114">
        <v>0.1</v>
      </c>
      <c r="AB19" s="115">
        <v>0.1</v>
      </c>
      <c r="AC19" s="113">
        <v>0.1</v>
      </c>
      <c r="AD19" s="114">
        <v>0.1</v>
      </c>
      <c r="AE19" s="115">
        <v>0.1</v>
      </c>
    </row>
    <row r="20" spans="2:31" ht="15" thickBot="1" x14ac:dyDescent="0.35">
      <c r="B20" s="102" t="s">
        <v>18</v>
      </c>
      <c r="C20" s="3" t="str">
        <f t="shared" si="0"/>
        <v>BESS</v>
      </c>
      <c r="D20" s="3" t="s">
        <v>12</v>
      </c>
      <c r="E20" s="118">
        <v>0.1</v>
      </c>
      <c r="F20" s="119">
        <v>0.1</v>
      </c>
      <c r="G20" s="119">
        <v>0.1</v>
      </c>
      <c r="H20" s="119">
        <v>0.1</v>
      </c>
      <c r="I20" s="119">
        <v>0.1</v>
      </c>
      <c r="J20" s="120">
        <v>0.1</v>
      </c>
      <c r="K20" s="114">
        <v>0.1</v>
      </c>
      <c r="L20" s="114">
        <v>0.1</v>
      </c>
      <c r="M20" s="114">
        <v>0.1</v>
      </c>
      <c r="N20" s="114">
        <v>0.1</v>
      </c>
      <c r="O20" s="114">
        <v>0.1</v>
      </c>
      <c r="P20" s="114">
        <v>0.1</v>
      </c>
      <c r="Q20" s="118">
        <v>0.1</v>
      </c>
      <c r="R20" s="119">
        <v>0.1</v>
      </c>
      <c r="S20" s="119">
        <v>0.1</v>
      </c>
      <c r="T20" s="119">
        <v>0.1</v>
      </c>
      <c r="U20" s="119">
        <v>0.1</v>
      </c>
      <c r="V20" s="119">
        <v>0.1</v>
      </c>
      <c r="W20" s="119">
        <v>0.1</v>
      </c>
      <c r="X20" s="119">
        <v>0.1</v>
      </c>
      <c r="Y20" s="119">
        <v>0.1</v>
      </c>
      <c r="Z20" s="119">
        <v>0.1</v>
      </c>
      <c r="AA20" s="119">
        <v>0.1</v>
      </c>
      <c r="AB20" s="120">
        <v>0.1</v>
      </c>
      <c r="AC20" s="113">
        <v>0.1</v>
      </c>
      <c r="AD20" s="114">
        <v>0.1</v>
      </c>
      <c r="AE20" s="115">
        <v>0.1</v>
      </c>
    </row>
    <row r="21" spans="2:31" x14ac:dyDescent="0.3">
      <c r="B21"/>
      <c r="C21"/>
      <c r="D21"/>
    </row>
    <row r="22" spans="2:31" ht="14.25" customHeight="1" x14ac:dyDescent="0.3">
      <c r="B22" s="6"/>
      <c r="C22" s="6"/>
      <c r="D22" s="6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</row>
    <row r="49" s="5" customFormat="1" x14ac:dyDescent="0.3"/>
    <row r="50" s="5" customFormat="1" x14ac:dyDescent="0.3"/>
    <row r="51" s="5" customFormat="1" x14ac:dyDescent="0.3"/>
    <row r="52" s="5" customFormat="1" x14ac:dyDescent="0.3"/>
  </sheetData>
  <mergeCells count="5">
    <mergeCell ref="AC4:AE4"/>
    <mergeCell ref="E4:J4"/>
    <mergeCell ref="K4:P4"/>
    <mergeCell ref="Q4:AB4"/>
    <mergeCell ref="C2:J2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4D1152-870C-475A-8C25-734A3B74E3C9}">
          <x14:formula1>
            <xm:f>'Duration Table'!$C$7:$C$17</xm:f>
          </x14:formula1>
          <xm:sqref>C2:J2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A952-3EB5-4DE4-A82D-350CBB686C58}">
  <sheetPr>
    <tabColor rgb="FF0070C0"/>
  </sheetPr>
  <dimension ref="B1:AE52"/>
  <sheetViews>
    <sheetView zoomScaleNormal="100" workbookViewId="0">
      <selection activeCell="C2" sqref="C2:J2"/>
    </sheetView>
  </sheetViews>
  <sheetFormatPr defaultColWidth="9.109375" defaultRowHeight="14.4" x14ac:dyDescent="0.3"/>
  <cols>
    <col min="1" max="1" width="3.5546875" style="5" customWidth="1"/>
    <col min="2" max="2" width="39.44140625" style="5" customWidth="1"/>
    <col min="3" max="3" width="26.33203125" style="5" customWidth="1"/>
    <col min="4" max="4" width="23.109375" style="5" customWidth="1"/>
    <col min="5" max="10" width="5.44140625" style="5" bestFit="1" customWidth="1"/>
    <col min="11" max="28" width="6" style="5" bestFit="1" customWidth="1"/>
    <col min="29" max="31" width="5.44140625" style="5" customWidth="1"/>
    <col min="32" max="16384" width="9.109375" style="5"/>
  </cols>
  <sheetData>
    <row r="1" spans="2:31" ht="139.94999999999999" customHeight="1" thickBot="1" x14ac:dyDescent="0.35"/>
    <row r="2" spans="2:31" ht="24" thickBot="1" x14ac:dyDescent="0.5">
      <c r="B2" s="143" t="s">
        <v>148</v>
      </c>
      <c r="C2" s="177" t="str">
        <f>'Duration Table'!C16</f>
        <v>New Archetype 1</v>
      </c>
      <c r="D2" s="178"/>
      <c r="E2" s="178"/>
      <c r="F2" s="178"/>
      <c r="G2" s="178"/>
      <c r="H2" s="178"/>
      <c r="I2" s="178"/>
      <c r="J2" s="179"/>
    </row>
    <row r="3" spans="2:31" ht="15" thickBot="1" x14ac:dyDescent="0.35"/>
    <row r="4" spans="2:31" ht="16.2" thickBot="1" x14ac:dyDescent="0.35">
      <c r="B4" s="129" t="s">
        <v>73</v>
      </c>
      <c r="C4" s="73" t="s">
        <v>123</v>
      </c>
      <c r="D4" s="126" t="s">
        <v>64</v>
      </c>
      <c r="E4" s="180" t="s">
        <v>25</v>
      </c>
      <c r="F4" s="181"/>
      <c r="G4" s="181"/>
      <c r="H4" s="181"/>
      <c r="I4" s="181"/>
      <c r="J4" s="182"/>
      <c r="K4" s="183" t="s">
        <v>0</v>
      </c>
      <c r="L4" s="184"/>
      <c r="M4" s="184"/>
      <c r="N4" s="184"/>
      <c r="O4" s="184"/>
      <c r="P4" s="185"/>
      <c r="Q4" s="186" t="s">
        <v>1</v>
      </c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8"/>
      <c r="AC4" s="189" t="s">
        <v>26</v>
      </c>
      <c r="AD4" s="190"/>
      <c r="AE4" s="191"/>
    </row>
    <row r="5" spans="2:31" ht="15" hidden="1" thickBot="1" x14ac:dyDescent="0.35">
      <c r="B5" s="43" t="s">
        <v>114</v>
      </c>
      <c r="C5" s="43" t="s">
        <v>116</v>
      </c>
      <c r="D5" s="43" t="s">
        <v>117</v>
      </c>
      <c r="E5" s="3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4" t="s">
        <v>79</v>
      </c>
      <c r="K5" s="3" t="s">
        <v>80</v>
      </c>
      <c r="L5" s="38" t="s">
        <v>81</v>
      </c>
      <c r="M5" s="38" t="s">
        <v>82</v>
      </c>
      <c r="N5" s="38" t="s">
        <v>83</v>
      </c>
      <c r="O5" s="38" t="s">
        <v>84</v>
      </c>
      <c r="P5" s="4" t="s">
        <v>85</v>
      </c>
      <c r="Q5" s="3" t="s">
        <v>86</v>
      </c>
      <c r="R5" s="38" t="s">
        <v>87</v>
      </c>
      <c r="S5" s="38" t="s">
        <v>88</v>
      </c>
      <c r="T5" s="38" t="s">
        <v>89</v>
      </c>
      <c r="U5" s="38" t="s">
        <v>90</v>
      </c>
      <c r="V5" s="38" t="s">
        <v>91</v>
      </c>
      <c r="W5" s="38" t="s">
        <v>92</v>
      </c>
      <c r="X5" s="38" t="s">
        <v>93</v>
      </c>
      <c r="Y5" s="38" t="s">
        <v>94</v>
      </c>
      <c r="Z5" s="38" t="s">
        <v>95</v>
      </c>
      <c r="AA5" s="38" t="s">
        <v>96</v>
      </c>
      <c r="AB5" s="4" t="s">
        <v>97</v>
      </c>
      <c r="AC5" s="38" t="s">
        <v>98</v>
      </c>
      <c r="AD5" s="38" t="s">
        <v>99</v>
      </c>
      <c r="AE5" s="38" t="s">
        <v>100</v>
      </c>
    </row>
    <row r="6" spans="2:31" x14ac:dyDescent="0.3">
      <c r="B6" s="101" t="s">
        <v>3</v>
      </c>
      <c r="C6" s="98" t="str">
        <f t="shared" ref="C6:C20" si="0">$C$2</f>
        <v>New Archetype 1</v>
      </c>
      <c r="D6" s="98" t="s">
        <v>2</v>
      </c>
      <c r="E6" s="35"/>
      <c r="F6" s="36"/>
      <c r="G6" s="36"/>
      <c r="H6" s="36"/>
      <c r="I6" s="36"/>
      <c r="J6" s="37"/>
      <c r="K6" s="35"/>
      <c r="L6" s="36"/>
      <c r="M6" s="36"/>
      <c r="N6" s="36"/>
      <c r="O6" s="36"/>
      <c r="P6" s="37"/>
      <c r="Q6" s="35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5"/>
      <c r="AD6" s="36"/>
      <c r="AE6" s="36"/>
    </row>
    <row r="7" spans="2:31" x14ac:dyDescent="0.3">
      <c r="B7" s="102" t="s">
        <v>4</v>
      </c>
      <c r="C7" s="3" t="str">
        <f t="shared" si="0"/>
        <v>New Archetype 1</v>
      </c>
      <c r="D7" s="3" t="s">
        <v>2</v>
      </c>
      <c r="E7" s="10"/>
      <c r="F7" s="11"/>
      <c r="G7" s="11"/>
      <c r="H7" s="11"/>
      <c r="I7" s="11"/>
      <c r="J7" s="8"/>
      <c r="K7" s="33"/>
      <c r="L7" s="33"/>
      <c r="M7" s="33"/>
      <c r="N7" s="33"/>
      <c r="O7" s="33"/>
      <c r="P7" s="8"/>
      <c r="Q7" s="10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10"/>
      <c r="AD7" s="11"/>
      <c r="AE7" s="11"/>
    </row>
    <row r="8" spans="2:31" ht="15" thickBot="1" x14ac:dyDescent="0.35">
      <c r="B8" s="106" t="s">
        <v>5</v>
      </c>
      <c r="C8" s="20" t="str">
        <f t="shared" si="0"/>
        <v>New Archetype 1</v>
      </c>
      <c r="D8" s="20" t="s">
        <v>2</v>
      </c>
      <c r="E8" s="15"/>
      <c r="F8" s="9"/>
      <c r="G8" s="9"/>
      <c r="H8" s="9"/>
      <c r="I8" s="9"/>
      <c r="J8" s="32"/>
      <c r="K8" s="9"/>
      <c r="L8" s="9"/>
      <c r="M8" s="9"/>
      <c r="N8" s="9"/>
      <c r="O8" s="9"/>
      <c r="P8" s="32"/>
      <c r="Q8" s="15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5"/>
      <c r="AD8" s="9"/>
      <c r="AE8" s="9"/>
    </row>
    <row r="9" spans="2:31" x14ac:dyDescent="0.3">
      <c r="B9" s="101" t="s">
        <v>132</v>
      </c>
      <c r="C9" s="98" t="str">
        <f t="shared" si="0"/>
        <v>New Archetype 1</v>
      </c>
      <c r="D9" s="98" t="s">
        <v>6</v>
      </c>
      <c r="E9" s="35"/>
      <c r="F9" s="36"/>
      <c r="G9" s="36"/>
      <c r="H9" s="36"/>
      <c r="I9" s="36"/>
      <c r="J9" s="37"/>
      <c r="K9" s="35"/>
      <c r="L9" s="36"/>
      <c r="M9" s="36"/>
      <c r="N9" s="36"/>
      <c r="O9" s="36"/>
      <c r="P9" s="36"/>
      <c r="Q9" s="35"/>
      <c r="R9" s="36"/>
      <c r="S9" s="36"/>
      <c r="T9" s="36"/>
      <c r="U9" s="36"/>
      <c r="V9" s="36"/>
      <c r="W9" s="36"/>
      <c r="X9" s="36"/>
      <c r="Y9" s="36"/>
      <c r="Z9" s="36"/>
      <c r="AA9" s="36"/>
      <c r="AB9" s="37"/>
      <c r="AC9" s="35"/>
      <c r="AD9" s="36"/>
      <c r="AE9" s="36"/>
    </row>
    <row r="10" spans="2:31" x14ac:dyDescent="0.3">
      <c r="B10" s="102" t="s">
        <v>163</v>
      </c>
      <c r="C10" s="3" t="str">
        <f t="shared" si="0"/>
        <v>New Archetype 1</v>
      </c>
      <c r="D10" s="3" t="s">
        <v>6</v>
      </c>
      <c r="E10" s="10"/>
      <c r="F10" s="11"/>
      <c r="G10" s="11"/>
      <c r="H10" s="11"/>
      <c r="I10" s="11"/>
      <c r="J10" s="8"/>
      <c r="K10" s="10"/>
      <c r="L10" s="33"/>
      <c r="M10" s="33"/>
      <c r="N10" s="33"/>
      <c r="O10" s="33"/>
      <c r="P10" s="33"/>
      <c r="Q10" s="10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8"/>
      <c r="AC10" s="10"/>
      <c r="AD10" s="11"/>
      <c r="AE10" s="11"/>
    </row>
    <row r="11" spans="2:31" x14ac:dyDescent="0.3">
      <c r="B11" s="102" t="s">
        <v>164</v>
      </c>
      <c r="C11" s="3" t="str">
        <f t="shared" si="0"/>
        <v>New Archetype 1</v>
      </c>
      <c r="D11" s="3" t="s">
        <v>6</v>
      </c>
      <c r="E11" s="10"/>
      <c r="F11" s="11"/>
      <c r="G11" s="11"/>
      <c r="H11" s="11"/>
      <c r="I11" s="11"/>
      <c r="J11" s="8"/>
      <c r="K11" s="10"/>
      <c r="L11" s="33"/>
      <c r="M11" s="33"/>
      <c r="N11" s="33"/>
      <c r="O11" s="33"/>
      <c r="P11" s="33"/>
      <c r="Q11" s="10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10"/>
      <c r="AD11" s="11"/>
      <c r="AE11" s="11"/>
    </row>
    <row r="12" spans="2:31" x14ac:dyDescent="0.3">
      <c r="B12" s="102" t="s">
        <v>120</v>
      </c>
      <c r="C12" s="3" t="str">
        <f t="shared" si="0"/>
        <v>New Archetype 1</v>
      </c>
      <c r="D12" s="3" t="s">
        <v>6</v>
      </c>
      <c r="E12" s="10"/>
      <c r="F12" s="11"/>
      <c r="G12" s="11"/>
      <c r="H12" s="11"/>
      <c r="I12" s="11"/>
      <c r="J12" s="8"/>
      <c r="K12" s="10"/>
      <c r="L12" s="33"/>
      <c r="M12" s="33"/>
      <c r="N12" s="33"/>
      <c r="O12" s="33"/>
      <c r="P12" s="8"/>
      <c r="Q12" s="10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8"/>
      <c r="AC12" s="10"/>
      <c r="AD12" s="11"/>
      <c r="AE12" s="11"/>
    </row>
    <row r="13" spans="2:31" ht="15" thickBot="1" x14ac:dyDescent="0.35">
      <c r="B13" s="106" t="s">
        <v>162</v>
      </c>
      <c r="C13" s="20" t="str">
        <f t="shared" si="0"/>
        <v>New Archetype 1</v>
      </c>
      <c r="D13" s="20" t="s">
        <v>6</v>
      </c>
      <c r="E13" s="15"/>
      <c r="F13" s="9"/>
      <c r="G13" s="9"/>
      <c r="H13" s="9"/>
      <c r="I13" s="9"/>
      <c r="J13" s="32"/>
      <c r="K13" s="15"/>
      <c r="L13" s="9"/>
      <c r="M13" s="9"/>
      <c r="N13" s="9"/>
      <c r="O13" s="9"/>
      <c r="P13" s="9"/>
      <c r="Q13" s="15"/>
      <c r="R13" s="9"/>
      <c r="S13" s="9"/>
      <c r="T13" s="9"/>
      <c r="U13" s="9"/>
      <c r="V13" s="9"/>
      <c r="W13" s="9"/>
      <c r="X13" s="9"/>
      <c r="Y13" s="9"/>
      <c r="Z13" s="9"/>
      <c r="AA13" s="9"/>
      <c r="AB13" s="32"/>
      <c r="AC13" s="15"/>
      <c r="AD13" s="9"/>
      <c r="AE13" s="9"/>
    </row>
    <row r="14" spans="2:31" x14ac:dyDescent="0.3">
      <c r="B14" s="101" t="s">
        <v>9</v>
      </c>
      <c r="C14" s="98" t="str">
        <f t="shared" si="0"/>
        <v>New Archetype 1</v>
      </c>
      <c r="D14" s="98" t="s">
        <v>8</v>
      </c>
      <c r="E14" s="35"/>
      <c r="F14" s="36"/>
      <c r="G14" s="36"/>
      <c r="H14" s="36"/>
      <c r="I14" s="36"/>
      <c r="J14" s="37"/>
      <c r="K14" s="36"/>
      <c r="L14" s="36"/>
      <c r="M14" s="36"/>
      <c r="N14" s="36"/>
      <c r="O14" s="36"/>
      <c r="P14" s="37"/>
      <c r="Q14" s="35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5"/>
      <c r="AD14" s="22"/>
      <c r="AE14" s="36"/>
    </row>
    <row r="15" spans="2:31" ht="15" thickBot="1" x14ac:dyDescent="0.35">
      <c r="B15" s="106" t="s">
        <v>10</v>
      </c>
      <c r="C15" s="20" t="str">
        <f t="shared" si="0"/>
        <v>New Archetype 1</v>
      </c>
      <c r="D15" s="20" t="s">
        <v>8</v>
      </c>
      <c r="E15" s="15"/>
      <c r="F15" s="9"/>
      <c r="G15" s="9"/>
      <c r="H15" s="9"/>
      <c r="I15" s="9"/>
      <c r="J15" s="32"/>
      <c r="K15" s="9"/>
      <c r="L15" s="9"/>
      <c r="M15" s="9"/>
      <c r="N15" s="9"/>
      <c r="O15" s="9"/>
      <c r="P15" s="32"/>
      <c r="Q15" s="15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5"/>
      <c r="AD15" s="9"/>
      <c r="AE15" s="9"/>
    </row>
    <row r="16" spans="2:31" x14ac:dyDescent="0.3">
      <c r="B16" s="102" t="s">
        <v>13</v>
      </c>
      <c r="C16" s="3" t="str">
        <f t="shared" si="0"/>
        <v>New Archetype 1</v>
      </c>
      <c r="D16" s="3" t="s">
        <v>12</v>
      </c>
      <c r="E16" s="10"/>
      <c r="F16" s="11"/>
      <c r="G16" s="11"/>
      <c r="H16" s="11"/>
      <c r="I16" s="11"/>
      <c r="J16" s="8"/>
      <c r="K16" s="13"/>
      <c r="L16" s="13"/>
      <c r="M16" s="13"/>
      <c r="N16" s="13"/>
      <c r="O16" s="13"/>
      <c r="P16" s="14"/>
      <c r="Q16" s="12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0"/>
      <c r="AD16" s="11"/>
      <c r="AE16" s="11"/>
    </row>
    <row r="17" spans="2:31" x14ac:dyDescent="0.3">
      <c r="B17" s="102" t="s">
        <v>14</v>
      </c>
      <c r="C17" s="3" t="str">
        <f t="shared" si="0"/>
        <v>New Archetype 1</v>
      </c>
      <c r="D17" s="3" t="s">
        <v>12</v>
      </c>
      <c r="E17" s="10"/>
      <c r="F17" s="11"/>
      <c r="G17" s="11"/>
      <c r="H17" s="11"/>
      <c r="I17" s="11"/>
      <c r="J17" s="8"/>
      <c r="K17" s="13"/>
      <c r="L17" s="13"/>
      <c r="M17" s="13"/>
      <c r="N17" s="13"/>
      <c r="O17" s="13"/>
      <c r="P17" s="14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4"/>
      <c r="AC17" s="10"/>
      <c r="AD17" s="11"/>
      <c r="AE17" s="11"/>
    </row>
    <row r="18" spans="2:31" x14ac:dyDescent="0.3">
      <c r="B18" s="102" t="s">
        <v>15</v>
      </c>
      <c r="C18" s="3" t="str">
        <f t="shared" si="0"/>
        <v>New Archetype 1</v>
      </c>
      <c r="D18" s="3" t="s">
        <v>12</v>
      </c>
      <c r="E18" s="10"/>
      <c r="F18" s="11"/>
      <c r="G18" s="11"/>
      <c r="H18" s="11"/>
      <c r="I18" s="11"/>
      <c r="J18" s="8"/>
      <c r="K18" s="33"/>
      <c r="L18" s="33"/>
      <c r="M18" s="33"/>
      <c r="N18" s="33"/>
      <c r="O18" s="33"/>
      <c r="P18" s="8"/>
      <c r="Q18" s="10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10"/>
      <c r="AD18" s="11"/>
      <c r="AE18" s="11"/>
    </row>
    <row r="19" spans="2:31" x14ac:dyDescent="0.3">
      <c r="B19" s="102" t="s">
        <v>16</v>
      </c>
      <c r="C19" s="3" t="str">
        <f t="shared" si="0"/>
        <v>New Archetype 1</v>
      </c>
      <c r="D19" s="3" t="s">
        <v>12</v>
      </c>
      <c r="E19" s="10"/>
      <c r="F19" s="11"/>
      <c r="G19" s="11"/>
      <c r="H19" s="11"/>
      <c r="I19" s="11"/>
      <c r="J19" s="8"/>
      <c r="K19" s="33"/>
      <c r="L19" s="33"/>
      <c r="M19" s="33"/>
      <c r="N19" s="33"/>
      <c r="O19" s="33"/>
      <c r="P19" s="8"/>
      <c r="Q19" s="10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10"/>
      <c r="AD19" s="11"/>
      <c r="AE19" s="11"/>
    </row>
    <row r="20" spans="2:31" x14ac:dyDescent="0.3">
      <c r="B20" s="102" t="s">
        <v>18</v>
      </c>
      <c r="C20" s="3" t="str">
        <f t="shared" si="0"/>
        <v>New Archetype 1</v>
      </c>
      <c r="D20" s="3" t="s">
        <v>12</v>
      </c>
      <c r="E20" s="10"/>
      <c r="F20" s="11"/>
      <c r="G20" s="11"/>
      <c r="H20" s="11"/>
      <c r="I20" s="11"/>
      <c r="J20" s="8"/>
      <c r="K20" s="33"/>
      <c r="L20" s="33"/>
      <c r="M20" s="33"/>
      <c r="N20" s="33"/>
      <c r="O20" s="33"/>
      <c r="P20" s="8"/>
      <c r="Q20" s="10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10"/>
      <c r="AD20" s="11"/>
      <c r="AE20" s="11"/>
    </row>
    <row r="21" spans="2:31" x14ac:dyDescent="0.3">
      <c r="B21"/>
      <c r="C21"/>
      <c r="D21"/>
    </row>
    <row r="22" spans="2:31" ht="14.25" customHeight="1" x14ac:dyDescent="0.3">
      <c r="B22" s="6"/>
      <c r="C22" s="6"/>
      <c r="D22" s="6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</row>
    <row r="49" s="5" customFormat="1" x14ac:dyDescent="0.3"/>
    <row r="50" s="5" customFormat="1" x14ac:dyDescent="0.3"/>
    <row r="51" s="5" customFormat="1" x14ac:dyDescent="0.3"/>
    <row r="52" s="5" customFormat="1" x14ac:dyDescent="0.3"/>
  </sheetData>
  <mergeCells count="5">
    <mergeCell ref="E4:J4"/>
    <mergeCell ref="K4:P4"/>
    <mergeCell ref="Q4:AB4"/>
    <mergeCell ref="AC4:AE4"/>
    <mergeCell ref="C2:J2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23785F-DE78-4279-8EE4-3A092F5D61C4}">
          <x14:formula1>
            <xm:f>'Duration Table'!$C$7:$C$17</xm:f>
          </x14:formula1>
          <xm:sqref>C2:J2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169F-DD29-4626-A70E-7B3C63D51F07}">
  <sheetPr>
    <tabColor rgb="FF0070C0"/>
  </sheetPr>
  <dimension ref="B1:AE52"/>
  <sheetViews>
    <sheetView zoomScaleNormal="100" workbookViewId="0">
      <selection activeCell="P28" sqref="P28"/>
    </sheetView>
  </sheetViews>
  <sheetFormatPr defaultColWidth="9.109375" defaultRowHeight="14.4" x14ac:dyDescent="0.3"/>
  <cols>
    <col min="1" max="1" width="3.5546875" style="5" customWidth="1"/>
    <col min="2" max="2" width="39.44140625" style="5" customWidth="1"/>
    <col min="3" max="3" width="26.33203125" style="5" customWidth="1"/>
    <col min="4" max="4" width="23.109375" style="5" customWidth="1"/>
    <col min="5" max="10" width="5.44140625" style="5" bestFit="1" customWidth="1"/>
    <col min="11" max="28" width="6" style="5" bestFit="1" customWidth="1"/>
    <col min="29" max="31" width="5.44140625" style="5" customWidth="1"/>
    <col min="32" max="16384" width="9.109375" style="5"/>
  </cols>
  <sheetData>
    <row r="1" spans="2:31" ht="139.94999999999999" customHeight="1" thickBot="1" x14ac:dyDescent="0.35"/>
    <row r="2" spans="2:31" ht="24" thickBot="1" x14ac:dyDescent="0.5">
      <c r="B2" s="143" t="s">
        <v>148</v>
      </c>
      <c r="C2" s="177" t="str">
        <f>'Duration Table'!C17</f>
        <v>New Archetype 2</v>
      </c>
      <c r="D2" s="178"/>
      <c r="E2" s="178"/>
      <c r="F2" s="178"/>
      <c r="G2" s="178"/>
      <c r="H2" s="178"/>
      <c r="I2" s="178"/>
      <c r="J2" s="179"/>
    </row>
    <row r="3" spans="2:31" ht="15" thickBot="1" x14ac:dyDescent="0.35"/>
    <row r="4" spans="2:31" ht="16.2" thickBot="1" x14ac:dyDescent="0.35">
      <c r="B4" s="129" t="s">
        <v>73</v>
      </c>
      <c r="C4" s="73" t="s">
        <v>123</v>
      </c>
      <c r="D4" s="126" t="s">
        <v>64</v>
      </c>
      <c r="E4" s="180" t="s">
        <v>25</v>
      </c>
      <c r="F4" s="181"/>
      <c r="G4" s="181"/>
      <c r="H4" s="181"/>
      <c r="I4" s="181"/>
      <c r="J4" s="182"/>
      <c r="K4" s="183" t="s">
        <v>0</v>
      </c>
      <c r="L4" s="184"/>
      <c r="M4" s="184"/>
      <c r="N4" s="184"/>
      <c r="O4" s="184"/>
      <c r="P4" s="185"/>
      <c r="Q4" s="186" t="s">
        <v>1</v>
      </c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8"/>
      <c r="AC4" s="189" t="s">
        <v>26</v>
      </c>
      <c r="AD4" s="190"/>
      <c r="AE4" s="191"/>
    </row>
    <row r="5" spans="2:31" ht="15" hidden="1" thickBot="1" x14ac:dyDescent="0.35">
      <c r="B5" s="43" t="s">
        <v>114</v>
      </c>
      <c r="C5" s="43" t="s">
        <v>116</v>
      </c>
      <c r="D5" s="43" t="s">
        <v>117</v>
      </c>
      <c r="E5" s="3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4" t="s">
        <v>79</v>
      </c>
      <c r="K5" s="3" t="s">
        <v>80</v>
      </c>
      <c r="L5" s="38" t="s">
        <v>81</v>
      </c>
      <c r="M5" s="38" t="s">
        <v>82</v>
      </c>
      <c r="N5" s="38" t="s">
        <v>83</v>
      </c>
      <c r="O5" s="38" t="s">
        <v>84</v>
      </c>
      <c r="P5" s="4" t="s">
        <v>85</v>
      </c>
      <c r="Q5" s="3" t="s">
        <v>86</v>
      </c>
      <c r="R5" s="38" t="s">
        <v>87</v>
      </c>
      <c r="S5" s="38" t="s">
        <v>88</v>
      </c>
      <c r="T5" s="38" t="s">
        <v>89</v>
      </c>
      <c r="U5" s="38" t="s">
        <v>90</v>
      </c>
      <c r="V5" s="38" t="s">
        <v>91</v>
      </c>
      <c r="W5" s="38" t="s">
        <v>92</v>
      </c>
      <c r="X5" s="38" t="s">
        <v>93</v>
      </c>
      <c r="Y5" s="38" t="s">
        <v>94</v>
      </c>
      <c r="Z5" s="38" t="s">
        <v>95</v>
      </c>
      <c r="AA5" s="38" t="s">
        <v>96</v>
      </c>
      <c r="AB5" s="4" t="s">
        <v>97</v>
      </c>
      <c r="AC5" s="38" t="s">
        <v>98</v>
      </c>
      <c r="AD5" s="38" t="s">
        <v>99</v>
      </c>
      <c r="AE5" s="38" t="s">
        <v>100</v>
      </c>
    </row>
    <row r="6" spans="2:31" x14ac:dyDescent="0.3">
      <c r="B6" s="101" t="s">
        <v>3</v>
      </c>
      <c r="C6" s="98" t="str">
        <f t="shared" ref="C6:C20" si="0">$C$2</f>
        <v>New Archetype 2</v>
      </c>
      <c r="D6" s="98" t="s">
        <v>2</v>
      </c>
      <c r="E6" s="35"/>
      <c r="F6" s="36"/>
      <c r="G6" s="36"/>
      <c r="H6" s="36"/>
      <c r="I6" s="36"/>
      <c r="J6" s="37"/>
      <c r="K6" s="35"/>
      <c r="L6" s="36"/>
      <c r="M6" s="36"/>
      <c r="N6" s="36"/>
      <c r="O6" s="36"/>
      <c r="P6" s="37"/>
      <c r="Q6" s="35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5"/>
      <c r="AD6" s="36"/>
      <c r="AE6" s="36"/>
    </row>
    <row r="7" spans="2:31" x14ac:dyDescent="0.3">
      <c r="B7" s="102" t="s">
        <v>4</v>
      </c>
      <c r="C7" s="3" t="str">
        <f t="shared" si="0"/>
        <v>New Archetype 2</v>
      </c>
      <c r="D7" s="3" t="s">
        <v>2</v>
      </c>
      <c r="E7" s="10"/>
      <c r="F7" s="11"/>
      <c r="G7" s="11"/>
      <c r="H7" s="11"/>
      <c r="I7" s="11"/>
      <c r="J7" s="8"/>
      <c r="K7" s="33"/>
      <c r="L7" s="33"/>
      <c r="M7" s="33"/>
      <c r="N7" s="33"/>
      <c r="O7" s="33"/>
      <c r="P7" s="8"/>
      <c r="Q7" s="10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10"/>
      <c r="AD7" s="11"/>
      <c r="AE7" s="11"/>
    </row>
    <row r="8" spans="2:31" ht="15" thickBot="1" x14ac:dyDescent="0.35">
      <c r="B8" s="106" t="s">
        <v>5</v>
      </c>
      <c r="C8" s="20" t="str">
        <f t="shared" si="0"/>
        <v>New Archetype 2</v>
      </c>
      <c r="D8" s="20" t="s">
        <v>2</v>
      </c>
      <c r="E8" s="15"/>
      <c r="F8" s="9"/>
      <c r="G8" s="9"/>
      <c r="H8" s="9"/>
      <c r="I8" s="9"/>
      <c r="J8" s="32"/>
      <c r="K8" s="9"/>
      <c r="L8" s="9"/>
      <c r="M8" s="9"/>
      <c r="N8" s="9"/>
      <c r="O8" s="9"/>
      <c r="P8" s="32"/>
      <c r="Q8" s="15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5"/>
      <c r="AD8" s="9"/>
      <c r="AE8" s="9"/>
    </row>
    <row r="9" spans="2:31" x14ac:dyDescent="0.3">
      <c r="B9" s="101" t="s">
        <v>132</v>
      </c>
      <c r="C9" s="98" t="str">
        <f t="shared" si="0"/>
        <v>New Archetype 2</v>
      </c>
      <c r="D9" s="98" t="s">
        <v>6</v>
      </c>
      <c r="E9" s="35"/>
      <c r="F9" s="36"/>
      <c r="G9" s="36"/>
      <c r="H9" s="36"/>
      <c r="I9" s="36"/>
      <c r="J9" s="37"/>
      <c r="K9" s="35"/>
      <c r="L9" s="36"/>
      <c r="M9" s="36"/>
      <c r="N9" s="36"/>
      <c r="O9" s="36"/>
      <c r="P9" s="36"/>
      <c r="Q9" s="35"/>
      <c r="R9" s="36"/>
      <c r="S9" s="36"/>
      <c r="T9" s="36"/>
      <c r="U9" s="36"/>
      <c r="V9" s="36"/>
      <c r="W9" s="36"/>
      <c r="X9" s="36"/>
      <c r="Y9" s="36"/>
      <c r="Z9" s="36"/>
      <c r="AA9" s="36"/>
      <c r="AB9" s="37"/>
      <c r="AC9" s="35"/>
      <c r="AD9" s="36"/>
      <c r="AE9" s="36"/>
    </row>
    <row r="10" spans="2:31" x14ac:dyDescent="0.3">
      <c r="B10" s="102" t="s">
        <v>163</v>
      </c>
      <c r="C10" s="3" t="str">
        <f t="shared" si="0"/>
        <v>New Archetype 2</v>
      </c>
      <c r="D10" s="3" t="s">
        <v>6</v>
      </c>
      <c r="E10" s="10"/>
      <c r="F10" s="11"/>
      <c r="G10" s="11"/>
      <c r="H10" s="11"/>
      <c r="I10" s="11"/>
      <c r="J10" s="8"/>
      <c r="K10" s="10"/>
      <c r="L10" s="33"/>
      <c r="M10" s="33"/>
      <c r="N10" s="33"/>
      <c r="O10" s="33"/>
      <c r="P10" s="33"/>
      <c r="Q10" s="10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8"/>
      <c r="AC10" s="10"/>
      <c r="AD10" s="11"/>
      <c r="AE10" s="11"/>
    </row>
    <row r="11" spans="2:31" x14ac:dyDescent="0.3">
      <c r="B11" s="102" t="s">
        <v>164</v>
      </c>
      <c r="C11" s="3" t="str">
        <f t="shared" si="0"/>
        <v>New Archetype 2</v>
      </c>
      <c r="D11" s="3" t="s">
        <v>6</v>
      </c>
      <c r="E11" s="10"/>
      <c r="F11" s="11"/>
      <c r="G11" s="11"/>
      <c r="H11" s="11"/>
      <c r="I11" s="11"/>
      <c r="J11" s="8"/>
      <c r="K11" s="10"/>
      <c r="L11" s="33"/>
      <c r="M11" s="33"/>
      <c r="N11" s="33"/>
      <c r="O11" s="33"/>
      <c r="P11" s="33"/>
      <c r="Q11" s="10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10"/>
      <c r="AD11" s="11"/>
      <c r="AE11" s="11"/>
    </row>
    <row r="12" spans="2:31" x14ac:dyDescent="0.3">
      <c r="B12" s="102" t="s">
        <v>120</v>
      </c>
      <c r="C12" s="3" t="str">
        <f t="shared" si="0"/>
        <v>New Archetype 2</v>
      </c>
      <c r="D12" s="3" t="s">
        <v>6</v>
      </c>
      <c r="E12" s="10"/>
      <c r="F12" s="11"/>
      <c r="G12" s="11"/>
      <c r="H12" s="11"/>
      <c r="I12" s="11"/>
      <c r="J12" s="8"/>
      <c r="K12" s="10"/>
      <c r="L12" s="33"/>
      <c r="M12" s="33"/>
      <c r="N12" s="33"/>
      <c r="O12" s="33"/>
      <c r="P12" s="8"/>
      <c r="Q12" s="10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8"/>
      <c r="AC12" s="10"/>
      <c r="AD12" s="11"/>
      <c r="AE12" s="11"/>
    </row>
    <row r="13" spans="2:31" ht="15" thickBot="1" x14ac:dyDescent="0.35">
      <c r="B13" s="106" t="s">
        <v>162</v>
      </c>
      <c r="C13" s="20" t="str">
        <f t="shared" si="0"/>
        <v>New Archetype 2</v>
      </c>
      <c r="D13" s="20" t="s">
        <v>6</v>
      </c>
      <c r="E13" s="15"/>
      <c r="F13" s="9"/>
      <c r="G13" s="9"/>
      <c r="H13" s="9"/>
      <c r="I13" s="9"/>
      <c r="J13" s="32"/>
      <c r="K13" s="15"/>
      <c r="L13" s="9"/>
      <c r="M13" s="9"/>
      <c r="N13" s="9"/>
      <c r="O13" s="9"/>
      <c r="P13" s="9"/>
      <c r="Q13" s="15"/>
      <c r="R13" s="9"/>
      <c r="S13" s="9"/>
      <c r="T13" s="9"/>
      <c r="U13" s="9"/>
      <c r="V13" s="9"/>
      <c r="W13" s="9"/>
      <c r="X13" s="9"/>
      <c r="Y13" s="9"/>
      <c r="Z13" s="9"/>
      <c r="AA13" s="9"/>
      <c r="AB13" s="32"/>
      <c r="AC13" s="15"/>
      <c r="AD13" s="9"/>
      <c r="AE13" s="9"/>
    </row>
    <row r="14" spans="2:31" x14ac:dyDescent="0.3">
      <c r="B14" s="101" t="s">
        <v>9</v>
      </c>
      <c r="C14" s="98" t="str">
        <f t="shared" si="0"/>
        <v>New Archetype 2</v>
      </c>
      <c r="D14" s="98" t="s">
        <v>8</v>
      </c>
      <c r="E14" s="35"/>
      <c r="F14" s="36"/>
      <c r="G14" s="36"/>
      <c r="H14" s="36"/>
      <c r="I14" s="36"/>
      <c r="J14" s="37"/>
      <c r="K14" s="36"/>
      <c r="L14" s="36"/>
      <c r="M14" s="36"/>
      <c r="N14" s="36"/>
      <c r="O14" s="36"/>
      <c r="P14" s="37"/>
      <c r="Q14" s="35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5"/>
      <c r="AD14" s="22"/>
      <c r="AE14" s="36"/>
    </row>
    <row r="15" spans="2:31" ht="15" thickBot="1" x14ac:dyDescent="0.35">
      <c r="B15" s="106" t="s">
        <v>10</v>
      </c>
      <c r="C15" s="20" t="str">
        <f t="shared" si="0"/>
        <v>New Archetype 2</v>
      </c>
      <c r="D15" s="20" t="s">
        <v>8</v>
      </c>
      <c r="E15" s="15"/>
      <c r="F15" s="9"/>
      <c r="G15" s="9"/>
      <c r="H15" s="9"/>
      <c r="I15" s="9"/>
      <c r="J15" s="32"/>
      <c r="K15" s="9"/>
      <c r="L15" s="9"/>
      <c r="M15" s="9"/>
      <c r="N15" s="9"/>
      <c r="O15" s="9"/>
      <c r="P15" s="32"/>
      <c r="Q15" s="15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5"/>
      <c r="AD15" s="9"/>
      <c r="AE15" s="9"/>
    </row>
    <row r="16" spans="2:31" x14ac:dyDescent="0.3">
      <c r="B16" s="102" t="s">
        <v>13</v>
      </c>
      <c r="C16" s="3" t="str">
        <f t="shared" si="0"/>
        <v>New Archetype 2</v>
      </c>
      <c r="D16" s="3" t="s">
        <v>12</v>
      </c>
      <c r="E16" s="10"/>
      <c r="F16" s="11"/>
      <c r="G16" s="11"/>
      <c r="H16" s="11"/>
      <c r="I16" s="11"/>
      <c r="J16" s="8"/>
      <c r="K16" s="13"/>
      <c r="L16" s="13"/>
      <c r="M16" s="13"/>
      <c r="N16" s="13"/>
      <c r="O16" s="13"/>
      <c r="P16" s="14"/>
      <c r="Q16" s="12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0"/>
      <c r="AD16" s="11"/>
      <c r="AE16" s="11"/>
    </row>
    <row r="17" spans="2:31" x14ac:dyDescent="0.3">
      <c r="B17" s="102" t="s">
        <v>14</v>
      </c>
      <c r="C17" s="3" t="str">
        <f t="shared" si="0"/>
        <v>New Archetype 2</v>
      </c>
      <c r="D17" s="3" t="s">
        <v>12</v>
      </c>
      <c r="E17" s="10"/>
      <c r="F17" s="11"/>
      <c r="G17" s="11"/>
      <c r="H17" s="11"/>
      <c r="I17" s="11"/>
      <c r="J17" s="8"/>
      <c r="K17" s="13"/>
      <c r="L17" s="13"/>
      <c r="M17" s="13"/>
      <c r="N17" s="13"/>
      <c r="O17" s="13"/>
      <c r="P17" s="14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4"/>
      <c r="AC17" s="10"/>
      <c r="AD17" s="11"/>
      <c r="AE17" s="11"/>
    </row>
    <row r="18" spans="2:31" x14ac:dyDescent="0.3">
      <c r="B18" s="102" t="s">
        <v>15</v>
      </c>
      <c r="C18" s="3" t="str">
        <f t="shared" si="0"/>
        <v>New Archetype 2</v>
      </c>
      <c r="D18" s="3" t="s">
        <v>12</v>
      </c>
      <c r="E18" s="10"/>
      <c r="F18" s="11"/>
      <c r="G18" s="11"/>
      <c r="H18" s="11"/>
      <c r="I18" s="11"/>
      <c r="J18" s="8"/>
      <c r="K18" s="33"/>
      <c r="L18" s="33"/>
      <c r="M18" s="33"/>
      <c r="N18" s="33"/>
      <c r="O18" s="33"/>
      <c r="P18" s="8"/>
      <c r="Q18" s="10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10"/>
      <c r="AD18" s="11"/>
      <c r="AE18" s="11"/>
    </row>
    <row r="19" spans="2:31" x14ac:dyDescent="0.3">
      <c r="B19" s="102" t="s">
        <v>16</v>
      </c>
      <c r="C19" s="3" t="str">
        <f t="shared" si="0"/>
        <v>New Archetype 2</v>
      </c>
      <c r="D19" s="3" t="s">
        <v>12</v>
      </c>
      <c r="E19" s="10"/>
      <c r="F19" s="11"/>
      <c r="G19" s="11"/>
      <c r="H19" s="11"/>
      <c r="I19" s="11"/>
      <c r="J19" s="8"/>
      <c r="K19" s="33"/>
      <c r="L19" s="33"/>
      <c r="M19" s="33"/>
      <c r="N19" s="33"/>
      <c r="O19" s="33"/>
      <c r="P19" s="8"/>
      <c r="Q19" s="10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10"/>
      <c r="AD19" s="11"/>
      <c r="AE19" s="11"/>
    </row>
    <row r="20" spans="2:31" x14ac:dyDescent="0.3">
      <c r="B20" s="102" t="s">
        <v>18</v>
      </c>
      <c r="C20" s="3" t="str">
        <f t="shared" si="0"/>
        <v>New Archetype 2</v>
      </c>
      <c r="D20" s="3" t="s">
        <v>12</v>
      </c>
      <c r="E20" s="10"/>
      <c r="F20" s="11"/>
      <c r="G20" s="11"/>
      <c r="H20" s="11"/>
      <c r="I20" s="11"/>
      <c r="J20" s="8"/>
      <c r="K20" s="33"/>
      <c r="L20" s="33"/>
      <c r="M20" s="33"/>
      <c r="N20" s="33"/>
      <c r="O20" s="33"/>
      <c r="P20" s="8"/>
      <c r="Q20" s="10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10"/>
      <c r="AD20" s="11"/>
      <c r="AE20" s="11"/>
    </row>
    <row r="21" spans="2:31" x14ac:dyDescent="0.3">
      <c r="B21"/>
      <c r="C21"/>
      <c r="D21"/>
    </row>
    <row r="22" spans="2:31" ht="14.25" customHeight="1" x14ac:dyDescent="0.3">
      <c r="B22" s="6"/>
      <c r="C22" s="6"/>
      <c r="D22" s="6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</row>
    <row r="49" s="5" customFormat="1" x14ac:dyDescent="0.3"/>
    <row r="50" s="5" customFormat="1" x14ac:dyDescent="0.3"/>
    <row r="51" s="5" customFormat="1" x14ac:dyDescent="0.3"/>
    <row r="52" s="5" customFormat="1" x14ac:dyDescent="0.3"/>
  </sheetData>
  <mergeCells count="5">
    <mergeCell ref="C2:J2"/>
    <mergeCell ref="E4:J4"/>
    <mergeCell ref="K4:P4"/>
    <mergeCell ref="Q4:AB4"/>
    <mergeCell ref="AC4:AE4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1DECC0-16E7-4A02-82B3-B327A70657CC}">
          <x14:formula1>
            <xm:f>'Duration Table'!$C$7:$C$17</xm:f>
          </x14:formula1>
          <xm:sqref>C2:J2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0833-29B4-4600-9F42-5A0812F9BAA5}">
  <sheetPr>
    <tabColor rgb="FFC00000"/>
  </sheetPr>
  <dimension ref="A1:Q268"/>
  <sheetViews>
    <sheetView topLeftCell="B1" zoomScaleNormal="100" workbookViewId="0">
      <selection activeCell="D2" sqref="D2"/>
    </sheetView>
  </sheetViews>
  <sheetFormatPr defaultRowHeight="14.4" x14ac:dyDescent="0.3"/>
  <cols>
    <col min="1" max="1" width="38.109375" bestFit="1" customWidth="1"/>
    <col min="2" max="2" width="41" bestFit="1" customWidth="1"/>
    <col min="3" max="3" width="13.33203125" bestFit="1" customWidth="1"/>
    <col min="4" max="4" width="6.33203125" bestFit="1" customWidth="1"/>
    <col min="5" max="5" width="28.44140625" bestFit="1" customWidth="1"/>
    <col min="6" max="6" width="10" bestFit="1" customWidth="1"/>
    <col min="7" max="7" width="15" style="45" bestFit="1" customWidth="1"/>
    <col min="8" max="8" width="16.88671875" style="45" bestFit="1" customWidth="1"/>
    <col min="9" max="9" width="18" style="45" bestFit="1" customWidth="1"/>
    <col min="10" max="10" width="11.33203125" style="45" bestFit="1" customWidth="1"/>
    <col min="11" max="11" width="13.88671875" style="45" bestFit="1" customWidth="1"/>
    <col min="12" max="12" width="25.6640625" bestFit="1" customWidth="1"/>
    <col min="13" max="13" width="20.109375" style="45" bestFit="1" customWidth="1"/>
    <col min="14" max="14" width="14.44140625" style="45" bestFit="1" customWidth="1"/>
    <col min="15" max="15" width="15.5546875" style="45" bestFit="1" customWidth="1"/>
    <col min="16" max="16" width="10.44140625" style="45" bestFit="1" customWidth="1"/>
    <col min="17" max="17" width="19" style="45" bestFit="1" customWidth="1"/>
    <col min="18" max="18" width="11.88671875" customWidth="1"/>
    <col min="19" max="22" width="9.109375" customWidth="1"/>
  </cols>
  <sheetData>
    <row r="1" spans="1:17" s="47" customFormat="1" ht="16.2" thickBot="1" x14ac:dyDescent="0.35">
      <c r="A1" s="46" t="s">
        <v>65</v>
      </c>
      <c r="B1" s="47" t="s">
        <v>63</v>
      </c>
      <c r="C1" s="47" t="s">
        <v>102</v>
      </c>
      <c r="D1" s="47" t="s">
        <v>66</v>
      </c>
      <c r="E1" s="47" t="s">
        <v>123</v>
      </c>
      <c r="F1" s="47" t="s">
        <v>72</v>
      </c>
      <c r="G1" s="48" t="s">
        <v>103</v>
      </c>
      <c r="H1" s="48" t="s">
        <v>68</v>
      </c>
      <c r="I1" s="48" t="s">
        <v>69</v>
      </c>
      <c r="J1" s="48" t="s">
        <v>67</v>
      </c>
      <c r="K1" s="48" t="s">
        <v>70</v>
      </c>
      <c r="L1" s="47" t="s">
        <v>101</v>
      </c>
      <c r="M1" s="48" t="s">
        <v>104</v>
      </c>
      <c r="N1" s="48" t="s">
        <v>105</v>
      </c>
      <c r="O1" s="48" t="s">
        <v>106</v>
      </c>
      <c r="P1" s="48" t="s">
        <v>108</v>
      </c>
      <c r="Q1" s="48" t="s">
        <v>107</v>
      </c>
    </row>
    <row r="2" spans="1:17" x14ac:dyDescent="0.3">
      <c r="A2" t="str">
        <f>IF(AND(Projects!A11="", Projects!B11=""), "", IF(Projects!A11="", "Unassigned", Projects!A11))</f>
        <v>Highlands Buildout</v>
      </c>
      <c r="B2" t="str">
        <f>IF(Projects!B11&lt;&gt;"",Projects!B11,"")</f>
        <v>High Plains Intertie</v>
      </c>
      <c r="C2" t="str">
        <f>IF(AND(Projects!C11="", Projects!B11=""), "", IF(Projects!C11="", "None", Projects!C11))</f>
        <v>Linear Assets</v>
      </c>
      <c r="D2" t="str">
        <f>IF(AND(Projects!D11="", Projects!B11=""), "", IF(Projects!D11="", "No OpCo", Projects!D11))</f>
        <v>PSCo</v>
      </c>
      <c r="E2" t="str">
        <f>IF(Projects!E11&lt;&gt;"",Projects!E11,"")</f>
        <v>Transmission and Distribution</v>
      </c>
      <c r="F2">
        <f>IF(Projects!F11&lt;&gt;"",Projects!F11,"")</f>
        <v>213.46973299999999</v>
      </c>
      <c r="G2" s="45">
        <f>IF(Projects!G11&lt;&gt;"",Projects!G11,"")</f>
        <v>46235</v>
      </c>
      <c r="H2" s="45">
        <f>IF(Projects!H11&lt;&gt;"",Projects!H11,"")</f>
        <v>46327</v>
      </c>
      <c r="I2" s="45" t="str">
        <f>IF(Projects!I11&lt;&gt;"",Projects!I11,"")</f>
        <v/>
      </c>
      <c r="J2" s="45">
        <f>IF(Projects!J11&lt;&gt;"",Projects!J11,"")</f>
        <v>46631</v>
      </c>
      <c r="K2" s="45" t="str">
        <f>IF(Projects!K11&lt;&gt;"",Projects!K11,"")</f>
        <v/>
      </c>
      <c r="L2">
        <f>IF(AND(Projects!E11&lt;&gt;"", Projects!F11&lt;&gt;""),
INDEX('Duration Table'!$D$7:$H$17,MATCH(Projects!E11,'Duration Table'!$C$7:$C$17,0),MATCH(Projects!F11,'Duration Table'!$D$6:$H$6)),
   ""
)</f>
        <v>36</v>
      </c>
      <c r="M2" s="45" cm="1">
        <f t="array" ref="M2">_xlfn.IFS(
    G2&lt;&gt;"",G2,
    H2&lt;&gt;"",EDATE(H2,-0.25*L2),
    N2&lt;&gt;"",EDATE(N2,-0.25*L2),
    TRUE,""
)</f>
        <v>46235</v>
      </c>
      <c r="N2" s="45" cm="1">
        <f t="array" ref="N2">_xlfn.IFS(
    H2&lt;&gt;"", H2,
    COUNT(G2,I2)=2, (G2 + (DATEDIF(G2,I2,"d")*0.5)),
    COUNT(G2,J2)=2, (G2 + (DATEDIF(G2,J2,"d")*0.25)),
    COUNT(G2,K2)=2, (G2 + ((DATEDIF(G2,K2,"d")-90)*0.25)),
    COUNT(I2,J2)=2, (I2 -(DATEDIF(I2,J2,"d")*0.5)),
    COUNT(I2,K2)=2, (I2 -((DATEDIF(I2,K2,"d")-90)*0.5)),
    G2&lt;&gt;"", EDATE(G2, + L2*0.25),
    I2&lt;&gt;"", EDATE(I2, - L2*0.25),
    J2&lt;&gt;"", EDATE(J2, - L2*0.75),
    K2&lt;&gt;"", EDATE(K2, -((L2*0.75)+3)),
    TRUE, ""
)</f>
        <v>46327</v>
      </c>
      <c r="O2" s="45" cm="1">
        <f t="array" ref="O2">_xlfn.IFS(
    I2&lt;&gt;"", I2,
    COUNT(H2,J2)=2, (H2 + (DATEDIF(H2,J2,"d")*0.33)),
    COUNT(H2,K2)=2, (H2 + ((DATEDIF(H2,K2,"d")-90)*0.33)),
    COUNT(G2,J2)=2, (G2 +  DATEDIF(G2,J2,"d")*0.5),
    COUNT(G2,K2)=2, (G2 + (DATEDIF(G2,K2,"d")-90)*0.5),
    G2&lt;&gt;"", EDATE(G2, + L2*0.5),
    H2&lt;&gt;"", EDATE(H2, + L2*0.25),
    J2&lt;&gt;"", EDATE(J2, - L2*0.5),
    K2&lt;&gt;"", EDATE(K2, -((L2*0.5)+3)),
    TRUE, ""
)</f>
        <v>46427.32</v>
      </c>
      <c r="P2" s="45" cm="1">
        <f t="array" ref="P2">_xlfn.IFS(
    J2&lt;&gt;"", J2,
    K2&lt;&gt;"", EDATE(K2, -3),
    G2&lt;&gt;"", EDATE(G2, + L2),
    H2&lt;&gt;"", EDATE(H2, + L2*0.75),
    I2&lt;&gt;"", EDATE(I2, H L2*0.5),
    TRUE, ""
)</f>
        <v>46631</v>
      </c>
      <c r="Q2" s="45" cm="1">
        <f t="array" ref="Q2">_xlfn.IFS(
    K2&lt;&gt;"",K2,
    J2&lt;&gt;"",EDATE(J2,3),
    P2&lt;&gt;"",EDATE(P2,3),
    TRUE,""
)</f>
        <v>46722</v>
      </c>
    </row>
    <row r="3" spans="1:17" x14ac:dyDescent="0.3">
      <c r="A3" t="str">
        <f>IF(AND(Projects!A12="", Projects!B12=""), "", IF(Projects!A12="", "Unassigned", Projects!A12))</f>
        <v>Highlands Buildout</v>
      </c>
      <c r="B3" t="str">
        <f>IF(Projects!B12&lt;&gt;"",Projects!B12,"")</f>
        <v>Canyon Crest Feeder Upgrade</v>
      </c>
      <c r="C3" t="str">
        <f>IF(AND(Projects!C12="", Projects!B12=""), "", IF(Projects!C12="", "None", Projects!C12))</f>
        <v>Linear Assets</v>
      </c>
      <c r="D3" t="str">
        <f>IF(AND(Projects!D12="", Projects!B12=""), "", IF(Projects!D12="", "No OpCo", Projects!D12))</f>
        <v>PSCo</v>
      </c>
      <c r="E3" t="str">
        <f>IF(Projects!E12&lt;&gt;"",Projects!E12,"")</f>
        <v>Transmission and Distribution</v>
      </c>
      <c r="F3">
        <f>IF(Projects!F12&lt;&gt;"",Projects!F12,"")</f>
        <v>37.723744000000003</v>
      </c>
      <c r="G3" s="45">
        <f>IF(Projects!G12&lt;&gt;"",Projects!G12,"")</f>
        <v>46235</v>
      </c>
      <c r="H3" s="45">
        <f>IF(Projects!H12&lt;&gt;"",Projects!H12,"")</f>
        <v>46266</v>
      </c>
      <c r="I3" s="45" t="str">
        <f>IF(Projects!I12&lt;&gt;"",Projects!I12,"")</f>
        <v/>
      </c>
      <c r="J3" s="45">
        <f>IF(Projects!J12&lt;&gt;"",Projects!J12,"")</f>
        <v>46691</v>
      </c>
      <c r="K3" s="45" t="str">
        <f>IF(Projects!K12&lt;&gt;"",Projects!K12,"")</f>
        <v/>
      </c>
      <c r="L3">
        <f>IF(AND(Projects!E12&lt;&gt;"", Projects!F12&lt;&gt;""),
INDEX('Duration Table'!$D$7:$H$17,MATCH(Projects!E12,'Duration Table'!$C$7:$C$17,0),MATCH(Projects!F12,'Duration Table'!$D$6:$H$6)),
   ""
)</f>
        <v>18</v>
      </c>
      <c r="M3" s="45" cm="1">
        <f t="array" ref="M3">_xlfn.IFS(
    G3&lt;&gt;"",G3,
    H3&lt;&gt;"",EDATE(H3,-0.25*L3),
    N3&lt;&gt;"",EDATE(N3,-0.25*L3),
    TRUE,""
)</f>
        <v>46235</v>
      </c>
      <c r="N3" s="45" cm="1">
        <f t="array" ref="N3">_xlfn.IFS(
    H3&lt;&gt;"", H3,
    COUNT(G3,I3)=2, (G3 + (DATEDIF(G3,I3,"d")*0.5)),
    COUNT(G3,J3)=2, (G3 + (DATEDIF(G3,J3,"d")*0.25)),
    COUNT(G3,K3)=2, (G3 + ((DATEDIF(G3,K3,"d")-90)*0.25)),
    COUNT(I3,J3)=2, (I3 -(DATEDIF(I3,J3,"d")*0.5)),
    COUNT(I3,K3)=2, (I3 -((DATEDIF(I3,K3,"d")-90)*0.5)),
    G3&lt;&gt;"", EDATE(G3, + L3*0.25),
    I3&lt;&gt;"", EDATE(I3, - L3*0.25),
    J3&lt;&gt;"", EDATE(J3, - L3*0.75),
    K3&lt;&gt;"", EDATE(K3, -((L3*0.75)+3)),
    TRUE, ""
)</f>
        <v>46266</v>
      </c>
      <c r="O3" s="45" cm="1">
        <f t="array" ref="O3">_xlfn.IFS(
    I3&lt;&gt;"", I3,
    COUNT(H3,J3)=2, (H3 + (DATEDIF(H3,J3,"d")*0.33)),
    COUNT(H3,K3)=2, (H3 + ((DATEDIF(H3,K3,"d")-90)*0.33)),
    COUNT(G3,J3)=2, (G3 +  DATEDIF(G3,J3,"d")*0.5),
    COUNT(G3,K3)=2, (G3 + (DATEDIF(G3,K3,"d")-90)*0.5),
    G3&lt;&gt;"", EDATE(G3, + L3*0.5),
    H3&lt;&gt;"", EDATE(H3, + L3*0.25),
    J3&lt;&gt;"", EDATE(J3, - L3*0.5),
    K3&lt;&gt;"", EDATE(K3, -((L3*0.5)+3)),
    TRUE, ""
)</f>
        <v>46406.25</v>
      </c>
      <c r="P3" s="45" cm="1">
        <f t="array" ref="P3">_xlfn.IFS(
    J3&lt;&gt;"", J3,
    K3&lt;&gt;"", EDATE(K3, -3),
    G3&lt;&gt;"", EDATE(G3, + L3),
    H3&lt;&gt;"", EDATE(H3, + L3*0.75),
    I3&lt;&gt;"", EDATE(I3, H L3*0.5),
    TRUE, ""
)</f>
        <v>46691</v>
      </c>
      <c r="Q3" s="45" cm="1">
        <f t="array" ref="Q3">_xlfn.IFS(
    K3&lt;&gt;"",K3,
    J3&lt;&gt;"",EDATE(J3,3),
    P3&lt;&gt;"",EDATE(P3,3),
    TRUE,""
)</f>
        <v>46783</v>
      </c>
    </row>
    <row r="4" spans="1:17" x14ac:dyDescent="0.3">
      <c r="A4" t="str">
        <f>IF(AND(Projects!A13="", Projects!B13=""), "", IF(Projects!A13="", "Unassigned", Projects!A13))</f>
        <v>Urban Renewal</v>
      </c>
      <c r="B4" t="str">
        <f>IF(Projects!B13&lt;&gt;"",Projects!B13,"")</f>
        <v>Summit Crest 115‑kV Station</v>
      </c>
      <c r="C4" t="str">
        <f>IF(AND(Projects!C13="", Projects!B13=""), "", IF(Projects!C13="", "None", Projects!C13))</f>
        <v>Linear Assets</v>
      </c>
      <c r="D4" t="str">
        <f>IF(AND(Projects!D13="", Projects!B13=""), "", IF(Projects!D13="", "No OpCo", Projects!D13))</f>
        <v>SPS</v>
      </c>
      <c r="E4" t="str">
        <f>IF(Projects!E13&lt;&gt;"",Projects!E13,"")</f>
        <v>Substation</v>
      </c>
      <c r="F4">
        <f>IF(Projects!F13&lt;&gt;"",Projects!F13,"")</f>
        <v>146</v>
      </c>
      <c r="G4" s="45">
        <f>IF(Projects!G13&lt;&gt;"",Projects!G13,"")</f>
        <v>46235</v>
      </c>
      <c r="H4" s="45">
        <f>IF(Projects!H13&lt;&gt;"",Projects!H13,"")</f>
        <v>46310</v>
      </c>
      <c r="I4" s="45" t="str">
        <f>IF(Projects!I13&lt;&gt;"",Projects!I13,"")</f>
        <v/>
      </c>
      <c r="J4" s="45">
        <f>IF(Projects!J13&lt;&gt;"",Projects!J13,"")</f>
        <v>46722</v>
      </c>
      <c r="K4" s="45" t="str">
        <f>IF(Projects!K13&lt;&gt;"",Projects!K13,"")</f>
        <v/>
      </c>
      <c r="L4">
        <f>IF(AND(Projects!E13&lt;&gt;"", Projects!F13&lt;&gt;""),
INDEX('Duration Table'!$D$7:$H$17,MATCH(Projects!E13,'Duration Table'!$C$7:$C$17,0),MATCH(Projects!F13,'Duration Table'!$D$6:$H$6)),
   ""
)</f>
        <v>30</v>
      </c>
      <c r="M4" s="45" cm="1">
        <f t="array" ref="M4">_xlfn.IFS(
    G4&lt;&gt;"",G4,
    H4&lt;&gt;"",EDATE(H4,-0.25*L4),
    N4&lt;&gt;"",EDATE(N4,-0.25*L4),
    TRUE,""
)</f>
        <v>46235</v>
      </c>
      <c r="N4" s="45" cm="1">
        <f t="array" ref="N4">_xlfn.IFS(
    H4&lt;&gt;"", H4,
    COUNT(G4,I4)=2, (G4 + (DATEDIF(G4,I4,"d")*0.5)),
    COUNT(G4,J4)=2, (G4 + (DATEDIF(G4,J4,"d")*0.25)),
    COUNT(G4,K4)=2, (G4 + ((DATEDIF(G4,K4,"d")-90)*0.25)),
    COUNT(I4,J4)=2, (I4 -(DATEDIF(I4,J4,"d")*0.5)),
    COUNT(I4,K4)=2, (I4 -((DATEDIF(I4,K4,"d")-90)*0.5)),
    G4&lt;&gt;"", EDATE(G4, + L4*0.25),
    I4&lt;&gt;"", EDATE(I4, - L4*0.25),
    J4&lt;&gt;"", EDATE(J4, - L4*0.75),
    K4&lt;&gt;"", EDATE(K4, -((L4*0.75)+3)),
    TRUE, ""
)</f>
        <v>46310</v>
      </c>
      <c r="O4" s="45" cm="1">
        <f t="array" ref="O4">_xlfn.IFS(
    I4&lt;&gt;"", I4,
    COUNT(H4,J4)=2, (H4 + (DATEDIF(H4,J4,"d")*0.33)),
    COUNT(H4,K4)=2, (H4 + ((DATEDIF(H4,K4,"d")-90)*0.33)),
    COUNT(G4,J4)=2, (G4 +  DATEDIF(G4,J4,"d")*0.5),
    COUNT(G4,K4)=2, (G4 + (DATEDIF(G4,K4,"d")-90)*0.5),
    G4&lt;&gt;"", EDATE(G4, + L4*0.5),
    H4&lt;&gt;"", EDATE(H4, + L4*0.25),
    J4&lt;&gt;"", EDATE(J4, - L4*0.5),
    K4&lt;&gt;"", EDATE(K4, -((L4*0.5)+3)),
    TRUE, ""
)</f>
        <v>46445.96</v>
      </c>
      <c r="P4" s="45" cm="1">
        <f t="array" ref="P4">_xlfn.IFS(
    J4&lt;&gt;"", J4,
    K4&lt;&gt;"", EDATE(K4, -3),
    G4&lt;&gt;"", EDATE(G4, + L4),
    H4&lt;&gt;"", EDATE(H4, + L4*0.75),
    I4&lt;&gt;"", EDATE(I4, H L4*0.5),
    TRUE, ""
)</f>
        <v>46722</v>
      </c>
      <c r="Q4" s="45" cm="1">
        <f t="array" ref="Q4">_xlfn.IFS(
    K4&lt;&gt;"",K4,
    J4&lt;&gt;"",EDATE(J4,3),
    P4&lt;&gt;"",EDATE(P4,3),
    TRUE,""
)</f>
        <v>46813</v>
      </c>
    </row>
    <row r="5" spans="1:17" x14ac:dyDescent="0.3">
      <c r="A5" t="str">
        <f>IF(AND(Projects!A14="", Projects!B14=""), "", IF(Projects!A14="", "Unassigned", Projects!A14))</f>
        <v>Urban Renewal</v>
      </c>
      <c r="B5" t="str">
        <f>IF(Projects!B14&lt;&gt;"",Projects!B14,"")</f>
        <v>Canyon Winds Energy Center</v>
      </c>
      <c r="C5" t="str">
        <f>IF(AND(Projects!C14="", Projects!B14=""), "", IF(Projects!C14="", "None", Projects!C14))</f>
        <v>Fixed Assets</v>
      </c>
      <c r="D5" t="str">
        <f>IF(AND(Projects!D14="", Projects!B14=""), "", IF(Projects!D14="", "No OpCo", Projects!D14))</f>
        <v>PSCo</v>
      </c>
      <c r="E5" t="str">
        <f>IF(Projects!E14&lt;&gt;"",Projects!E14,"")</f>
        <v>Wind</v>
      </c>
      <c r="F5">
        <f>IF(Projects!F14&lt;&gt;"",Projects!F14,"")</f>
        <v>345</v>
      </c>
      <c r="G5" s="45">
        <f>IF(Projects!G14&lt;&gt;"",Projects!G14,"")</f>
        <v>46235</v>
      </c>
      <c r="H5" s="45">
        <f>IF(Projects!H14&lt;&gt;"",Projects!H14,"")</f>
        <v>46236</v>
      </c>
      <c r="I5" s="45">
        <f>IF(Projects!I14&lt;&gt;"",Projects!I14,"")</f>
        <v>46478</v>
      </c>
      <c r="J5" s="45">
        <f>IF(Projects!J14&lt;&gt;"",Projects!J14,"")</f>
        <v>46966</v>
      </c>
      <c r="K5" s="45" t="str">
        <f>IF(Projects!K14&lt;&gt;"",Projects!K14,"")</f>
        <v/>
      </c>
      <c r="L5">
        <f>IF(AND(Projects!E14&lt;&gt;"", Projects!F14&lt;&gt;""),
INDEX('Duration Table'!$D$7:$H$17,MATCH(Projects!E14,'Duration Table'!$C$7:$C$17,0),MATCH(Projects!F14,'Duration Table'!$D$6:$H$6)),
   ""
)</f>
        <v>36</v>
      </c>
      <c r="M5" s="45" cm="1">
        <f t="array" ref="M5">_xlfn.IFS(
    G5&lt;&gt;"",G5,
    H5&lt;&gt;"",EDATE(H5,-0.25*L5),
    N5&lt;&gt;"",EDATE(N5,-0.25*L5),
    TRUE,""
)</f>
        <v>46235</v>
      </c>
      <c r="N5" s="45" cm="1">
        <f t="array" ref="N5">_xlfn.IFS(
    H5&lt;&gt;"", H5,
    COUNT(G5,I5)=2, (G5 + (DATEDIF(G5,I5,"d")*0.5)),
    COUNT(G5,J5)=2, (G5 + (DATEDIF(G5,J5,"d")*0.25)),
    COUNT(G5,K5)=2, (G5 + ((DATEDIF(G5,K5,"d")-90)*0.25)),
    COUNT(I5,J5)=2, (I5 -(DATEDIF(I5,J5,"d")*0.5)),
    COUNT(I5,K5)=2, (I5 -((DATEDIF(I5,K5,"d")-90)*0.5)),
    G5&lt;&gt;"", EDATE(G5, + L5*0.25),
    I5&lt;&gt;"", EDATE(I5, - L5*0.25),
    J5&lt;&gt;"", EDATE(J5, - L5*0.75),
    K5&lt;&gt;"", EDATE(K5, -((L5*0.75)+3)),
    TRUE, ""
)</f>
        <v>46236</v>
      </c>
      <c r="O5" s="45" cm="1">
        <f t="array" ref="O5">_xlfn.IFS(
    I5&lt;&gt;"", I5,
    COUNT(H5,J5)=2, (H5 + (DATEDIF(H5,J5,"d")*0.33)),
    COUNT(H5,K5)=2, (H5 + ((DATEDIF(H5,K5,"d")-90)*0.33)),
    COUNT(G5,J5)=2, (G5 +  DATEDIF(G5,J5,"d")*0.5),
    COUNT(G5,K5)=2, (G5 + (DATEDIF(G5,K5,"d")-90)*0.5),
    G5&lt;&gt;"", EDATE(G5, + L5*0.5),
    H5&lt;&gt;"", EDATE(H5, + L5*0.25),
    J5&lt;&gt;"", EDATE(J5, - L5*0.5),
    K5&lt;&gt;"", EDATE(K5, -((L5*0.5)+3)),
    TRUE, ""
)</f>
        <v>46478</v>
      </c>
      <c r="P5" s="45" cm="1">
        <f t="array" ref="P5">_xlfn.IFS(
    J5&lt;&gt;"", J5,
    K5&lt;&gt;"", EDATE(K5, -3),
    G5&lt;&gt;"", EDATE(G5, + L5),
    H5&lt;&gt;"", EDATE(H5, + L5*0.75),
    I5&lt;&gt;"", EDATE(I5, H L5*0.5),
    TRUE, ""
)</f>
        <v>46966</v>
      </c>
      <c r="Q5" s="45" cm="1">
        <f t="array" ref="Q5">_xlfn.IFS(
    K5&lt;&gt;"",K5,
    J5&lt;&gt;"",EDATE(J5,3),
    P5&lt;&gt;"",EDATE(P5,3),
    TRUE,""
)</f>
        <v>47058</v>
      </c>
    </row>
    <row r="6" spans="1:17" x14ac:dyDescent="0.3">
      <c r="A6" t="str">
        <f>IF(AND(Projects!A15="", Projects!B15=""), "", IF(Projects!A15="", "Unassigned", Projects!A15))</f>
        <v>Urban Renewal</v>
      </c>
      <c r="B6" t="str">
        <f>IF(Projects!B15&lt;&gt;"",Projects!B15,"")</f>
        <v>Crystal Falls Turbine Renewal</v>
      </c>
      <c r="C6" t="str">
        <f>IF(AND(Projects!C15="", Projects!B15=""), "", IF(Projects!C15="", "None", Projects!C15))</f>
        <v>Fixed Assets</v>
      </c>
      <c r="D6" t="str">
        <f>IF(AND(Projects!D15="", Projects!B15=""), "", IF(Projects!D15="", "No OpCo", Projects!D15))</f>
        <v>PSCo</v>
      </c>
      <c r="E6" t="str">
        <f>IF(Projects!E15&lt;&gt;"",Projects!E15,"")</f>
        <v>Hydro</v>
      </c>
      <c r="F6">
        <f>IF(Projects!F15&lt;&gt;"",Projects!F15,"")</f>
        <v>222</v>
      </c>
      <c r="G6" s="45" t="str">
        <f>IF(Projects!G15&lt;&gt;"",Projects!G15,"")</f>
        <v/>
      </c>
      <c r="H6" s="45" t="str">
        <f>IF(Projects!H15&lt;&gt;"",Projects!H15,"")</f>
        <v/>
      </c>
      <c r="I6" s="45" t="str">
        <f>IF(Projects!I15&lt;&gt;"",Projects!I15,"")</f>
        <v/>
      </c>
      <c r="J6" s="45">
        <f>IF(Projects!J15&lt;&gt;"",Projects!J15,"")</f>
        <v>47062</v>
      </c>
      <c r="K6" s="45" t="str">
        <f>IF(Projects!K15&lt;&gt;"",Projects!K15,"")</f>
        <v/>
      </c>
      <c r="L6">
        <f>IF(AND(Projects!E15&lt;&gt;"", Projects!F15&lt;&gt;""),
INDEX('Duration Table'!$D$7:$H$17,MATCH(Projects!E15,'Duration Table'!$C$7:$C$17,0),MATCH(Projects!F15,'Duration Table'!$D$6:$H$6)),
   ""
)</f>
        <v>30</v>
      </c>
      <c r="M6" s="45" cm="1">
        <f t="array" ref="M6">_xlfn.IFS(
    G6&lt;&gt;"",G6,
    H6&lt;&gt;"",EDATE(H6,-0.25*L6),
    N6&lt;&gt;"",EDATE(N6,-0.25*L6),
    TRUE,""
)</f>
        <v>46178</v>
      </c>
      <c r="N6" s="45" cm="1">
        <f t="array" ref="N6">_xlfn.IFS(
    H6&lt;&gt;"", H6,
    COUNT(G6,I6)=2, (G6 + (DATEDIF(G6,I6,"d")*0.5)),
    COUNT(G6,J6)=2, (G6 + (DATEDIF(G6,J6,"d")*0.25)),
    COUNT(G6,K6)=2, (G6 + ((DATEDIF(G6,K6,"d")-90)*0.25)),
    COUNT(I6,J6)=2, (I6 -(DATEDIF(I6,J6,"d")*0.5)),
    COUNT(I6,K6)=2, (I6 -((DATEDIF(I6,K6,"d")-90)*0.5)),
    G6&lt;&gt;"", EDATE(G6, + L6*0.25),
    I6&lt;&gt;"", EDATE(I6, - L6*0.25),
    J6&lt;&gt;"", EDATE(J6, - L6*0.75),
    K6&lt;&gt;"", EDATE(K6, -((L6*0.75)+3)),
    TRUE, ""
)</f>
        <v>46392</v>
      </c>
      <c r="O6" s="45" cm="1">
        <f t="array" ref="O6">_xlfn.IFS(
    I6&lt;&gt;"", I6,
    COUNT(H6,J6)=2, (H6 + (DATEDIF(H6,J6,"d")*0.33)),
    COUNT(H6,K6)=2, (H6 + ((DATEDIF(H6,K6,"d")-90)*0.33)),
    COUNT(G6,J6)=2, (G6 +  DATEDIF(G6,J6,"d")*0.5),
    COUNT(G6,K6)=2, (G6 + (DATEDIF(G6,K6,"d")-90)*0.5),
    G6&lt;&gt;"", EDATE(G6, + L6*0.5),
    H6&lt;&gt;"", EDATE(H6, + L6*0.25),
    J6&lt;&gt;"", EDATE(J6, - L6*0.5),
    K6&lt;&gt;"", EDATE(K6, -((L6*0.5)+3)),
    TRUE, ""
)</f>
        <v>46604</v>
      </c>
      <c r="P6" s="45" cm="1">
        <f t="array" ref="P6">_xlfn.IFS(
    J6&lt;&gt;"", J6,
    K6&lt;&gt;"", EDATE(K6, -3),
    G6&lt;&gt;"", EDATE(G6, + L6),
    H6&lt;&gt;"", EDATE(H6, + L6*0.75),
    I6&lt;&gt;"", EDATE(I6, H L6*0.5),
    TRUE, ""
)</f>
        <v>47062</v>
      </c>
      <c r="Q6" s="45" cm="1">
        <f t="array" ref="Q6">_xlfn.IFS(
    K6&lt;&gt;"",K6,
    J6&lt;&gt;"",EDATE(J6,3),
    P6&lt;&gt;"",EDATE(P6,3),
    TRUE,""
)</f>
        <v>47154</v>
      </c>
    </row>
    <row r="7" spans="1:17" x14ac:dyDescent="0.3">
      <c r="A7" t="str">
        <f>IF(AND(Projects!A16="", Projects!B16=""), "", IF(Projects!A16="", "Unassigned", Projects!A16))</f>
        <v>Southwest Energy Supply</v>
      </c>
      <c r="B7" t="str">
        <f>IF(Projects!B16&lt;&gt;"",Projects!B16,"")</f>
        <v>Copper Ridge BESS Upgrade</v>
      </c>
      <c r="C7" t="str">
        <f>IF(AND(Projects!C16="", Projects!B16=""), "", IF(Projects!C16="", "None", Projects!C16))</f>
        <v>Fixed Assets</v>
      </c>
      <c r="D7" t="str">
        <f>IF(AND(Projects!D16="", Projects!B16=""), "", IF(Projects!D16="", "No OpCo", Projects!D16))</f>
        <v>SPS</v>
      </c>
      <c r="E7" t="str">
        <f>IF(Projects!E16&lt;&gt;"",Projects!E16,"")</f>
        <v>BESS</v>
      </c>
      <c r="F7">
        <f>IF(Projects!F16&lt;&gt;"",Projects!F16,"")</f>
        <v>111</v>
      </c>
      <c r="G7" s="45">
        <f>IF(Projects!G16&lt;&gt;"",Projects!G16,"")</f>
        <v>46266</v>
      </c>
      <c r="H7" s="45">
        <f>IF(Projects!H16&lt;&gt;"",Projects!H16,"")</f>
        <v>46310</v>
      </c>
      <c r="I7" s="45" t="str">
        <f>IF(Projects!I16&lt;&gt;"",Projects!I16,"")</f>
        <v/>
      </c>
      <c r="J7" s="45">
        <f>IF(Projects!J16&lt;&gt;"",Projects!J16,"")</f>
        <v>47102</v>
      </c>
      <c r="K7" s="45" t="str">
        <f>IF(Projects!K16&lt;&gt;"",Projects!K16,"")</f>
        <v/>
      </c>
      <c r="L7">
        <f>IF(AND(Projects!E16&lt;&gt;"", Projects!F16&lt;&gt;""),
INDEX('Duration Table'!$D$7:$H$17,MATCH(Projects!E16,'Duration Table'!$C$7:$C$17,0),MATCH(Projects!F16,'Duration Table'!$D$6:$H$6)),
   ""
)</f>
        <v>36</v>
      </c>
      <c r="M7" s="45" cm="1">
        <f t="array" ref="M7">_xlfn.IFS(
    G7&lt;&gt;"",G7,
    H7&lt;&gt;"",EDATE(H7,-0.25*L7),
    N7&lt;&gt;"",EDATE(N7,-0.25*L7),
    TRUE,""
)</f>
        <v>46266</v>
      </c>
      <c r="N7" s="45" cm="1">
        <f t="array" ref="N7">_xlfn.IFS(
    H7&lt;&gt;"", H7,
    COUNT(G7,I7)=2, (G7 + (DATEDIF(G7,I7,"d")*0.5)),
    COUNT(G7,J7)=2, (G7 + (DATEDIF(G7,J7,"d")*0.25)),
    COUNT(G7,K7)=2, (G7 + ((DATEDIF(G7,K7,"d")-90)*0.25)),
    COUNT(I7,J7)=2, (I7 -(DATEDIF(I7,J7,"d")*0.5)),
    COUNT(I7,K7)=2, (I7 -((DATEDIF(I7,K7,"d")-90)*0.5)),
    G7&lt;&gt;"", EDATE(G7, + L7*0.25),
    I7&lt;&gt;"", EDATE(I7, - L7*0.25),
    J7&lt;&gt;"", EDATE(J7, - L7*0.75),
    K7&lt;&gt;"", EDATE(K7, -((L7*0.75)+3)),
    TRUE, ""
)</f>
        <v>46310</v>
      </c>
      <c r="O7" s="45" cm="1">
        <f t="array" ref="O7">_xlfn.IFS(
    I7&lt;&gt;"", I7,
    COUNT(H7,J7)=2, (H7 + (DATEDIF(H7,J7,"d")*0.33)),
    COUNT(H7,K7)=2, (H7 + ((DATEDIF(H7,K7,"d")-90)*0.33)),
    COUNT(G7,J7)=2, (G7 +  DATEDIF(G7,J7,"d")*0.5),
    COUNT(G7,K7)=2, (G7 + (DATEDIF(G7,K7,"d")-90)*0.5),
    G7&lt;&gt;"", EDATE(G7, + L7*0.5),
    H7&lt;&gt;"", EDATE(H7, + L7*0.25),
    J7&lt;&gt;"", EDATE(J7, - L7*0.5),
    K7&lt;&gt;"", EDATE(K7, -((L7*0.5)+3)),
    TRUE, ""
)</f>
        <v>46571.360000000001</v>
      </c>
      <c r="P7" s="45" cm="1">
        <f t="array" ref="P7">_xlfn.IFS(
    J7&lt;&gt;"", J7,
    K7&lt;&gt;"", EDATE(K7, -3),
    G7&lt;&gt;"", EDATE(G7, + L7),
    H7&lt;&gt;"", EDATE(H7, + L7*0.75),
    I7&lt;&gt;"", EDATE(I7, H L7*0.5),
    TRUE, ""
)</f>
        <v>47102</v>
      </c>
      <c r="Q7" s="45" cm="1">
        <f t="array" ref="Q7">_xlfn.IFS(
    K7&lt;&gt;"",K7,
    J7&lt;&gt;"",EDATE(J7,3),
    P7&lt;&gt;"",EDATE(P7,3),
    TRUE,""
)</f>
        <v>47192</v>
      </c>
    </row>
    <row r="8" spans="1:17" x14ac:dyDescent="0.3">
      <c r="A8" t="str">
        <f>IF(AND(Projects!A17="", Projects!B17=""), "", IF(Projects!A17="", "Unassigned", Projects!A17))</f>
        <v>Highlands Buildout</v>
      </c>
      <c r="B8" t="str">
        <f>IF(Projects!B17&lt;&gt;"",Projects!B17,"")</f>
        <v>High Plains 230‑kV Interconnect</v>
      </c>
      <c r="C8" t="str">
        <f>IF(AND(Projects!C17="", Projects!B17=""), "", IF(Projects!C17="", "None", Projects!C17))</f>
        <v>Linear Assets</v>
      </c>
      <c r="D8" t="str">
        <f>IF(AND(Projects!D17="", Projects!B17=""), "", IF(Projects!D17="", "No OpCo", Projects!D17))</f>
        <v>NSP</v>
      </c>
      <c r="E8" t="str">
        <f>IF(Projects!E17&lt;&gt;"",Projects!E17,"")</f>
        <v>Substation</v>
      </c>
      <c r="F8">
        <f>IF(Projects!F17&lt;&gt;"",Projects!F17,"")</f>
        <v>188</v>
      </c>
      <c r="G8" s="45">
        <f>IF(Projects!G17&lt;&gt;"",Projects!G17,"")</f>
        <v>46266</v>
      </c>
      <c r="H8" s="45">
        <f>IF(Projects!H17&lt;&gt;"",Projects!H17,"")</f>
        <v>46327</v>
      </c>
      <c r="I8" s="45" t="str">
        <f>IF(Projects!I17&lt;&gt;"",Projects!I17,"")</f>
        <v/>
      </c>
      <c r="J8" s="45">
        <f>IF(Projects!J17&lt;&gt;"",Projects!J17,"")</f>
        <v>47102</v>
      </c>
      <c r="K8" s="45" t="str">
        <f>IF(Projects!K17&lt;&gt;"",Projects!K17,"")</f>
        <v/>
      </c>
      <c r="L8">
        <f>IF(AND(Projects!E17&lt;&gt;"", Projects!F17&lt;&gt;""),
INDEX('Duration Table'!$D$7:$H$17,MATCH(Projects!E17,'Duration Table'!$C$7:$C$17,0),MATCH(Projects!F17,'Duration Table'!$D$6:$H$6)),
   ""
)</f>
        <v>30</v>
      </c>
      <c r="M8" s="45" cm="1">
        <f t="array" ref="M8">_xlfn.IFS(
    G8&lt;&gt;"",G8,
    H8&lt;&gt;"",EDATE(H8,-0.25*L8),
    N8&lt;&gt;"",EDATE(N8,-0.25*L8),
    TRUE,""
)</f>
        <v>46266</v>
      </c>
      <c r="N8" s="45" cm="1">
        <f t="array" ref="N8">_xlfn.IFS(
    H8&lt;&gt;"", H8,
    COUNT(G8,I8)=2, (G8 + (DATEDIF(G8,I8,"d")*0.5)),
    COUNT(G8,J8)=2, (G8 + (DATEDIF(G8,J8,"d")*0.25)),
    COUNT(G8,K8)=2, (G8 + ((DATEDIF(G8,K8,"d")-90)*0.25)),
    COUNT(I8,J8)=2, (I8 -(DATEDIF(I8,J8,"d")*0.5)),
    COUNT(I8,K8)=2, (I8 -((DATEDIF(I8,K8,"d")-90)*0.5)),
    G8&lt;&gt;"", EDATE(G8, + L8*0.25),
    I8&lt;&gt;"", EDATE(I8, - L8*0.25),
    J8&lt;&gt;"", EDATE(J8, - L8*0.75),
    K8&lt;&gt;"", EDATE(K8, -((L8*0.75)+3)),
    TRUE, ""
)</f>
        <v>46327</v>
      </c>
      <c r="O8" s="45" cm="1">
        <f t="array" ref="O8">_xlfn.IFS(
    I8&lt;&gt;"", I8,
    COUNT(H8,J8)=2, (H8 + (DATEDIF(H8,J8,"d")*0.33)),
    COUNT(H8,K8)=2, (H8 + ((DATEDIF(H8,K8,"d")-90)*0.33)),
    COUNT(G8,J8)=2, (G8 +  DATEDIF(G8,J8,"d")*0.5),
    COUNT(G8,K8)=2, (G8 + (DATEDIF(G8,K8,"d")-90)*0.5),
    G8&lt;&gt;"", EDATE(G8, + L8*0.5),
    H8&lt;&gt;"", EDATE(H8, + L8*0.25),
    J8&lt;&gt;"", EDATE(J8, - L8*0.5),
    K8&lt;&gt;"", EDATE(K8, -((L8*0.5)+3)),
    TRUE, ""
)</f>
        <v>46582.75</v>
      </c>
      <c r="P8" s="45" cm="1">
        <f t="array" ref="P8">_xlfn.IFS(
    J8&lt;&gt;"", J8,
    K8&lt;&gt;"", EDATE(K8, -3),
    G8&lt;&gt;"", EDATE(G8, + L8),
    H8&lt;&gt;"", EDATE(H8, + L8*0.75),
    I8&lt;&gt;"", EDATE(I8, H L8*0.5),
    TRUE, ""
)</f>
        <v>47102</v>
      </c>
      <c r="Q8" s="45" cm="1">
        <f t="array" ref="Q8">_xlfn.IFS(
    K8&lt;&gt;"",K8,
    J8&lt;&gt;"",EDATE(J8,3),
    P8&lt;&gt;"",EDATE(P8,3),
    TRUE,""
)</f>
        <v>47192</v>
      </c>
    </row>
    <row r="9" spans="1:17" x14ac:dyDescent="0.3">
      <c r="A9" t="str">
        <f>IF(AND(Projects!A18="", Projects!B18=""), "", IF(Projects!A18="", "Unassigned", Projects!A18))</f>
        <v>Southwest Energy Supply</v>
      </c>
      <c r="B9" t="str">
        <f>IF(Projects!B18&lt;&gt;"",Projects!B18,"")</f>
        <v>Redstone Thermal Repower</v>
      </c>
      <c r="C9" t="str">
        <f>IF(AND(Projects!C18="", Projects!B18=""), "", IF(Projects!C18="", "None", Projects!C18))</f>
        <v>Fixed Assets</v>
      </c>
      <c r="D9" t="str">
        <f>IF(AND(Projects!D18="", Projects!B18=""), "", IF(Projects!D18="", "No OpCo", Projects!D18))</f>
        <v>NSP</v>
      </c>
      <c r="E9" t="str">
        <f>IF(Projects!E18&lt;&gt;"",Projects!E18,"")</f>
        <v>Thermal</v>
      </c>
      <c r="F9">
        <f>IF(Projects!F18&lt;&gt;"",Projects!F18,"")</f>
        <v>642</v>
      </c>
      <c r="G9" s="45">
        <f>IF(Projects!G18&lt;&gt;"",Projects!G18,"")</f>
        <v>46296</v>
      </c>
      <c r="H9" s="45">
        <f>IF(Projects!H18&lt;&gt;"",Projects!H18,"")</f>
        <v>46357</v>
      </c>
      <c r="I9" s="45" t="str">
        <f>IF(Projects!I18&lt;&gt;"",Projects!I18,"")</f>
        <v/>
      </c>
      <c r="J9" s="45">
        <f>IF(Projects!J18&lt;&gt;"",Projects!J18,"")</f>
        <v>47116</v>
      </c>
      <c r="K9" s="45" t="str">
        <f>IF(Projects!K18&lt;&gt;"",Projects!K18,"")</f>
        <v/>
      </c>
      <c r="L9">
        <f>IF(AND(Projects!E18&lt;&gt;"", Projects!F18&lt;&gt;""),
INDEX('Duration Table'!$D$7:$H$17,MATCH(Projects!E18,'Duration Table'!$C$7:$C$17,0),MATCH(Projects!F18,'Duration Table'!$D$6:$H$6)),
   ""
)</f>
        <v>36</v>
      </c>
      <c r="M9" s="45" cm="1">
        <f t="array" ref="M9">_xlfn.IFS(
    G9&lt;&gt;"",G9,
    H9&lt;&gt;"",EDATE(H9,-0.25*L9),
    N9&lt;&gt;"",EDATE(N9,-0.25*L9),
    TRUE,""
)</f>
        <v>46296</v>
      </c>
      <c r="N9" s="45" cm="1">
        <f t="array" ref="N9">_xlfn.IFS(
    H9&lt;&gt;"", H9,
    COUNT(G9,I9)=2, (G9 + (DATEDIF(G9,I9,"d")*0.5)),
    COUNT(G9,J9)=2, (G9 + (DATEDIF(G9,J9,"d")*0.25)),
    COUNT(G9,K9)=2, (G9 + ((DATEDIF(G9,K9,"d")-90)*0.25)),
    COUNT(I9,J9)=2, (I9 -(DATEDIF(I9,J9,"d")*0.5)),
    COUNT(I9,K9)=2, (I9 -((DATEDIF(I9,K9,"d")-90)*0.5)),
    G9&lt;&gt;"", EDATE(G9, + L9*0.25),
    I9&lt;&gt;"", EDATE(I9, - L9*0.25),
    J9&lt;&gt;"", EDATE(J9, - L9*0.75),
    K9&lt;&gt;"", EDATE(K9, -((L9*0.75)+3)),
    TRUE, ""
)</f>
        <v>46357</v>
      </c>
      <c r="O9" s="45" cm="1">
        <f t="array" ref="O9">_xlfn.IFS(
    I9&lt;&gt;"", I9,
    COUNT(H9,J9)=2, (H9 + (DATEDIF(H9,J9,"d")*0.33)),
    COUNT(H9,K9)=2, (H9 + ((DATEDIF(H9,K9,"d")-90)*0.33)),
    COUNT(G9,J9)=2, (G9 +  DATEDIF(G9,J9,"d")*0.5),
    COUNT(G9,K9)=2, (G9 + (DATEDIF(G9,K9,"d")-90)*0.5),
    G9&lt;&gt;"", EDATE(G9, + L9*0.5),
    H9&lt;&gt;"", EDATE(H9, + L9*0.25),
    J9&lt;&gt;"", EDATE(J9, - L9*0.5),
    K9&lt;&gt;"", EDATE(K9, -((L9*0.5)+3)),
    TRUE, ""
)</f>
        <v>46607.47</v>
      </c>
      <c r="P9" s="45" cm="1">
        <f t="array" ref="P9">_xlfn.IFS(
    J9&lt;&gt;"", J9,
    K9&lt;&gt;"", EDATE(K9, -3),
    G9&lt;&gt;"", EDATE(G9, + L9),
    H9&lt;&gt;"", EDATE(H9, + L9*0.75),
    I9&lt;&gt;"", EDATE(I9, H L9*0.5),
    TRUE, ""
)</f>
        <v>47116</v>
      </c>
      <c r="Q9" s="45" cm="1">
        <f t="array" ref="Q9">_xlfn.IFS(
    K9&lt;&gt;"",K9,
    J9&lt;&gt;"",EDATE(J9,3),
    P9&lt;&gt;"",EDATE(P9,3),
    TRUE,""
)</f>
        <v>47206</v>
      </c>
    </row>
    <row r="10" spans="1:17" x14ac:dyDescent="0.3">
      <c r="A10" t="str">
        <f>IF(AND(Projects!A19="", Projects!B19=""), "", IF(Projects!A19="", "Unassigned", Projects!A19))</f>
        <v>Circuit 9991</v>
      </c>
      <c r="B10" t="str">
        <f>IF(Projects!B19&lt;&gt;"",Projects!B19,"")</f>
        <v>Silverline Substation Expansion</v>
      </c>
      <c r="C10" t="str">
        <f>IF(AND(Projects!C19="", Projects!B19=""), "", IF(Projects!C19="", "None", Projects!C19))</f>
        <v>Linear Assets</v>
      </c>
      <c r="D10" t="str">
        <f>IF(AND(Projects!D19="", Projects!B19=""), "", IF(Projects!D19="", "No OpCo", Projects!D19))</f>
        <v>PSCo</v>
      </c>
      <c r="E10" t="str">
        <f>IF(Projects!E19&lt;&gt;"",Projects!E19,"")</f>
        <v>Transmission and Distribution</v>
      </c>
      <c r="F10">
        <f>IF(Projects!F19&lt;&gt;"",Projects!F19,"")</f>
        <v>132.302266</v>
      </c>
      <c r="G10" s="45" t="str">
        <f>IF(Projects!G19&lt;&gt;"",Projects!G19,"")</f>
        <v/>
      </c>
      <c r="H10" s="45" t="str">
        <f>IF(Projects!H19&lt;&gt;"",Projects!H19,"")</f>
        <v/>
      </c>
      <c r="I10" s="45">
        <f>IF(Projects!I19&lt;&gt;"",Projects!I19,"")</f>
        <v>46874</v>
      </c>
      <c r="J10" s="45">
        <f>IF(Projects!J19&lt;&gt;"",Projects!J19,"")</f>
        <v>47170</v>
      </c>
      <c r="K10" s="45" t="str">
        <f>IF(Projects!K19&lt;&gt;"",Projects!K19,"")</f>
        <v/>
      </c>
      <c r="L10">
        <f>IF(AND(Projects!E19&lt;&gt;"", Projects!F19&lt;&gt;""),
INDEX('Duration Table'!$D$7:$H$17,MATCH(Projects!E19,'Duration Table'!$C$7:$C$17,0),MATCH(Projects!F19,'Duration Table'!$D$6:$H$6)),
   ""
)</f>
        <v>36</v>
      </c>
      <c r="M10" s="45" cm="1">
        <f t="array" ref="M10">_xlfn.IFS(
    G10&lt;&gt;"",G10,
    H10&lt;&gt;"",EDATE(H10,-0.25*L10),
    N10&lt;&gt;"",EDATE(N10,-0.25*L10),
    TRUE,""
)</f>
        <v>46451</v>
      </c>
      <c r="N10" s="45" cm="1">
        <f t="array" ref="N10">_xlfn.IFS(
    H10&lt;&gt;"", H10,
    COUNT(G10,I10)=2, (G10 + (DATEDIF(G10,I10,"d")*0.5)),
    COUNT(G10,J10)=2, (G10 + (DATEDIF(G10,J10,"d")*0.25)),
    COUNT(G10,K10)=2, (G10 + ((DATEDIF(G10,K10,"d")-90)*0.25)),
    COUNT(I10,J10)=2, (I10 -(DATEDIF(I10,J10,"d")*0.5)),
    COUNT(I10,K10)=2, (I10 -((DATEDIF(I10,K10,"d")-90)*0.5)),
    G10&lt;&gt;"", EDATE(G10, + L10*0.25),
    I10&lt;&gt;"", EDATE(I10, - L10*0.25),
    J10&lt;&gt;"", EDATE(J10, - L10*0.75),
    K10&lt;&gt;"", EDATE(K10, -((L10*0.75)+3)),
    TRUE, ""
)</f>
        <v>46726</v>
      </c>
      <c r="O10" s="45" cm="1">
        <f t="array" ref="O10">_xlfn.IFS(
    I10&lt;&gt;"", I10,
    COUNT(H10,J10)=2, (H10 + (DATEDIF(H10,J10,"d")*0.33)),
    COUNT(H10,K10)=2, (H10 + ((DATEDIF(H10,K10,"d")-90)*0.33)),
    COUNT(G10,J10)=2, (G10 +  DATEDIF(G10,J10,"d")*0.5),
    COUNT(G10,K10)=2, (G10 + (DATEDIF(G10,K10,"d")-90)*0.5),
    G10&lt;&gt;"", EDATE(G10, + L10*0.5),
    H10&lt;&gt;"", EDATE(H10, + L10*0.25),
    J10&lt;&gt;"", EDATE(J10, - L10*0.5),
    K10&lt;&gt;"", EDATE(K10, -((L10*0.5)+3)),
    TRUE, ""
)</f>
        <v>46874</v>
      </c>
      <c r="P10" s="45" cm="1">
        <f t="array" ref="P10">_xlfn.IFS(
    J10&lt;&gt;"", J10,
    K10&lt;&gt;"", EDATE(K10, -3),
    G10&lt;&gt;"", EDATE(G10, + L10),
    H10&lt;&gt;"", EDATE(H10, + L10*0.75),
    I10&lt;&gt;"", EDATE(I10, H L10*0.5),
    TRUE, ""
)</f>
        <v>47170</v>
      </c>
      <c r="Q10" s="45" cm="1">
        <f t="array" ref="Q10">_xlfn.IFS(
    K10&lt;&gt;"",K10,
    J10&lt;&gt;"",EDATE(J10,3),
    P10&lt;&gt;"",EDATE(P10,3),
    TRUE,""
)</f>
        <v>47259</v>
      </c>
    </row>
    <row r="11" spans="1:17" x14ac:dyDescent="0.3">
      <c r="A11" t="str">
        <f>IF(AND(Projects!A20="", Projects!B20=""), "", IF(Projects!A20="", "Unassigned", Projects!A20))</f>
        <v>Circuit 9991</v>
      </c>
      <c r="B11" t="str">
        <f>IF(Projects!B20&lt;&gt;"",Projects!B20,"")</f>
        <v>Aurora Grid Upgrade</v>
      </c>
      <c r="C11" t="str">
        <f>IF(AND(Projects!C20="", Projects!B20=""), "", IF(Projects!C20="", "None", Projects!C20))</f>
        <v>Linear Assets</v>
      </c>
      <c r="D11" t="str">
        <f>IF(AND(Projects!D20="", Projects!B20=""), "", IF(Projects!D20="", "No OpCo", Projects!D20))</f>
        <v>PSCo</v>
      </c>
      <c r="E11" t="str">
        <f>IF(Projects!E20&lt;&gt;"",Projects!E20,"")</f>
        <v>Transmission and Distribution</v>
      </c>
      <c r="F11">
        <f>IF(Projects!F20&lt;&gt;"",Projects!F20,"")</f>
        <v>187.68892099999999</v>
      </c>
      <c r="G11" s="45">
        <f>IF(Projects!G20&lt;&gt;"",Projects!G20,"")</f>
        <v>46296</v>
      </c>
      <c r="H11" s="45">
        <f>IF(Projects!H20&lt;&gt;"",Projects!H20,"")</f>
        <v>46357</v>
      </c>
      <c r="I11" s="45" t="str">
        <f>IF(Projects!I20&lt;&gt;"",Projects!I20,"")</f>
        <v/>
      </c>
      <c r="J11" s="45">
        <f>IF(Projects!J20&lt;&gt;"",Projects!J20,"")</f>
        <v>47257</v>
      </c>
      <c r="K11" s="45" t="str">
        <f>IF(Projects!K20&lt;&gt;"",Projects!K20,"")</f>
        <v/>
      </c>
      <c r="L11">
        <f>IF(AND(Projects!E20&lt;&gt;"", Projects!F20&lt;&gt;""),
INDEX('Duration Table'!$D$7:$H$17,MATCH(Projects!E20,'Duration Table'!$C$7:$C$17,0),MATCH(Projects!F20,'Duration Table'!$D$6:$H$6)),
   ""
)</f>
        <v>36</v>
      </c>
      <c r="M11" s="45" cm="1">
        <f t="array" ref="M11">_xlfn.IFS(
    G11&lt;&gt;"",G11,
    H11&lt;&gt;"",EDATE(H11,-0.25*L11),
    N11&lt;&gt;"",EDATE(N11,-0.25*L11),
    TRUE,""
)</f>
        <v>46296</v>
      </c>
      <c r="N11" s="45" cm="1">
        <f t="array" ref="N11">_xlfn.IFS(
    H11&lt;&gt;"", H11,
    COUNT(G11,I11)=2, (G11 + (DATEDIF(G11,I11,"d")*0.5)),
    COUNT(G11,J11)=2, (G11 + (DATEDIF(G11,J11,"d")*0.25)),
    COUNT(G11,K11)=2, (G11 + ((DATEDIF(G11,K11,"d")-90)*0.25)),
    COUNT(I11,J11)=2, (I11 -(DATEDIF(I11,J11,"d")*0.5)),
    COUNT(I11,K11)=2, (I11 -((DATEDIF(I11,K11,"d")-90)*0.5)),
    G11&lt;&gt;"", EDATE(G11, + L11*0.25),
    I11&lt;&gt;"", EDATE(I11, - L11*0.25),
    J11&lt;&gt;"", EDATE(J11, - L11*0.75),
    K11&lt;&gt;"", EDATE(K11, -((L11*0.75)+3)),
    TRUE, ""
)</f>
        <v>46357</v>
      </c>
      <c r="O11" s="45" cm="1">
        <f t="array" ref="O11">_xlfn.IFS(
    I11&lt;&gt;"", I11,
    COUNT(H11,J11)=2, (H11 + (DATEDIF(H11,J11,"d")*0.33)),
    COUNT(H11,K11)=2, (H11 + ((DATEDIF(H11,K11,"d")-90)*0.33)),
    COUNT(G11,J11)=2, (G11 +  DATEDIF(G11,J11,"d")*0.5),
    COUNT(G11,K11)=2, (G11 + (DATEDIF(G11,K11,"d")-90)*0.5),
    G11&lt;&gt;"", EDATE(G11, + L11*0.5),
    H11&lt;&gt;"", EDATE(H11, + L11*0.25),
    J11&lt;&gt;"", EDATE(J11, - L11*0.5),
    K11&lt;&gt;"", EDATE(K11, -((L11*0.5)+3)),
    TRUE, ""
)</f>
        <v>46654</v>
      </c>
      <c r="P11" s="45" cm="1">
        <f t="array" ref="P11">_xlfn.IFS(
    J11&lt;&gt;"", J11,
    K11&lt;&gt;"", EDATE(K11, -3),
    G11&lt;&gt;"", EDATE(G11, + L11),
    H11&lt;&gt;"", EDATE(H11, + L11*0.75),
    I11&lt;&gt;"", EDATE(I11, H L11*0.5),
    TRUE, ""
)</f>
        <v>47257</v>
      </c>
      <c r="Q11" s="45" cm="1">
        <f t="array" ref="Q11">_xlfn.IFS(
    K11&lt;&gt;"",K11,
    J11&lt;&gt;"",EDATE(J11,3),
    P11&lt;&gt;"",EDATE(P11,3),
    TRUE,""
)</f>
        <v>47349</v>
      </c>
    </row>
    <row r="12" spans="1:17" x14ac:dyDescent="0.3">
      <c r="A12" t="str">
        <f>IF(AND(Projects!A21="", Projects!B21=""), "", IF(Projects!A21="", "Unassigned", Projects!A21))</f>
        <v>Southwest Energy Supply</v>
      </c>
      <c r="B12" t="str">
        <f>IF(Projects!B21&lt;&gt;"",Projects!B21,"")</f>
        <v>Canyon Crest CHP Project</v>
      </c>
      <c r="C12" t="str">
        <f>IF(AND(Projects!C21="", Projects!B21=""), "", IF(Projects!C21="", "None", Projects!C21))</f>
        <v>Fixed Assets</v>
      </c>
      <c r="D12" t="str">
        <f>IF(AND(Projects!D21="", Projects!B21=""), "", IF(Projects!D21="", "No OpCo", Projects!D21))</f>
        <v>NSP</v>
      </c>
      <c r="E12" t="str">
        <f>IF(Projects!E21&lt;&gt;"",Projects!E21,"")</f>
        <v>Thermal</v>
      </c>
      <c r="F12">
        <f>IF(Projects!F21&lt;&gt;"",Projects!F21,"")</f>
        <v>170</v>
      </c>
      <c r="G12" s="45" t="str">
        <f>IF(Projects!G21&lt;&gt;"",Projects!G21,"")</f>
        <v/>
      </c>
      <c r="H12" s="45" t="str">
        <f>IF(Projects!H21&lt;&gt;"",Projects!H21,"")</f>
        <v/>
      </c>
      <c r="I12" s="45" t="str">
        <f>IF(Projects!I21&lt;&gt;"",Projects!I21,"")</f>
        <v/>
      </c>
      <c r="J12" s="45">
        <f>IF(Projects!J21&lt;&gt;"",Projects!J21,"")</f>
        <v>47270</v>
      </c>
      <c r="K12" s="45" t="str">
        <f>IF(Projects!K21&lt;&gt;"",Projects!K21,"")</f>
        <v/>
      </c>
      <c r="L12">
        <f>IF(AND(Projects!E21&lt;&gt;"", Projects!F21&lt;&gt;""),
INDEX('Duration Table'!$D$7:$H$17,MATCH(Projects!E21,'Duration Table'!$C$7:$C$17,0),MATCH(Projects!F21,'Duration Table'!$D$6:$H$6)),
   ""
)</f>
        <v>30</v>
      </c>
      <c r="M12" s="45" cm="1">
        <f t="array" ref="M12">_xlfn.IFS(
    G12&lt;&gt;"",G12,
    H12&lt;&gt;"",EDATE(H12,-0.25*L12),
    N12&lt;&gt;"",EDATE(N12,-0.25*L12),
    TRUE,""
)</f>
        <v>46388</v>
      </c>
      <c r="N12" s="45" cm="1">
        <f t="array" ref="N12">_xlfn.IFS(
    H12&lt;&gt;"", H12,
    COUNT(G12,I12)=2, (G12 + (DATEDIF(G12,I12,"d")*0.5)),
    COUNT(G12,J12)=2, (G12 + (DATEDIF(G12,J12,"d")*0.25)),
    COUNT(G12,K12)=2, (G12 + ((DATEDIF(G12,K12,"d")-90)*0.25)),
    COUNT(I12,J12)=2, (I12 -(DATEDIF(I12,J12,"d")*0.5)),
    COUNT(I12,K12)=2, (I12 -((DATEDIF(I12,K12,"d")-90)*0.5)),
    G12&lt;&gt;"", EDATE(G12, + L12*0.25),
    I12&lt;&gt;"", EDATE(I12, - L12*0.25),
    J12&lt;&gt;"", EDATE(J12, - L12*0.75),
    K12&lt;&gt;"", EDATE(K12, -((L12*0.75)+3)),
    TRUE, ""
)</f>
        <v>46600</v>
      </c>
      <c r="O12" s="45" cm="1">
        <f t="array" ref="O12">_xlfn.IFS(
    I12&lt;&gt;"", I12,
    COUNT(H12,J12)=2, (H12 + (DATEDIF(H12,J12,"d")*0.33)),
    COUNT(H12,K12)=2, (H12 + ((DATEDIF(H12,K12,"d")-90)*0.33)),
    COUNT(G12,J12)=2, (G12 +  DATEDIF(G12,J12,"d")*0.5),
    COUNT(G12,K12)=2, (G12 + (DATEDIF(G12,K12,"d")-90)*0.5),
    G12&lt;&gt;"", EDATE(G12, + L12*0.5),
    H12&lt;&gt;"", EDATE(H12, + L12*0.25),
    J12&lt;&gt;"", EDATE(J12, - L12*0.5),
    K12&lt;&gt;"", EDATE(K12, -((L12*0.5)+3)),
    TRUE, ""
)</f>
        <v>46813</v>
      </c>
      <c r="P12" s="45" cm="1">
        <f t="array" ref="P12">_xlfn.IFS(
    J12&lt;&gt;"", J12,
    K12&lt;&gt;"", EDATE(K12, -3),
    G12&lt;&gt;"", EDATE(G12, + L12),
    H12&lt;&gt;"", EDATE(H12, + L12*0.75),
    I12&lt;&gt;"", EDATE(I12, H L12*0.5),
    TRUE, ""
)</f>
        <v>47270</v>
      </c>
      <c r="Q12" s="45" cm="1">
        <f t="array" ref="Q12">_xlfn.IFS(
    K12&lt;&gt;"",K12,
    J12&lt;&gt;"",EDATE(J12,3),
    P12&lt;&gt;"",EDATE(P12,3),
    TRUE,""
)</f>
        <v>47362</v>
      </c>
    </row>
    <row r="13" spans="1:17" x14ac:dyDescent="0.3">
      <c r="A13" t="str">
        <f>IF(AND(Projects!A22="", Projects!B22=""), "", IF(Projects!A22="", "Unassigned", Projects!A22))</f>
        <v>Highlands Buildout</v>
      </c>
      <c r="B13" t="str">
        <f>IF(Projects!B22&lt;&gt;"",Projects!B22,"")</f>
        <v>Desert Bloom Solar Array</v>
      </c>
      <c r="C13" t="str">
        <f>IF(AND(Projects!C22="", Projects!B22=""), "", IF(Projects!C22="", "None", Projects!C22))</f>
        <v>Fixed Assets</v>
      </c>
      <c r="D13" t="str">
        <f>IF(AND(Projects!D22="", Projects!B22=""), "", IF(Projects!D22="", "No OpCo", Projects!D22))</f>
        <v>NSP</v>
      </c>
      <c r="E13" t="str">
        <f>IF(Projects!E22&lt;&gt;"",Projects!E22,"")</f>
        <v>Solar</v>
      </c>
      <c r="F13">
        <f>IF(Projects!F22&lt;&gt;"",Projects!F22,"")</f>
        <v>423.422256</v>
      </c>
      <c r="G13" s="45">
        <f>IF(Projects!G22&lt;&gt;"",Projects!G22,"")</f>
        <v>46235</v>
      </c>
      <c r="H13" s="45">
        <f>IF(Projects!H22&lt;&gt;"",Projects!H22,"")</f>
        <v>46327</v>
      </c>
      <c r="I13" s="45" t="str">
        <f>IF(Projects!I22&lt;&gt;"",Projects!I22,"")</f>
        <v/>
      </c>
      <c r="J13" s="45">
        <f>IF(Projects!J22&lt;&gt;"",Projects!J22,"")</f>
        <v>47298</v>
      </c>
      <c r="K13" s="45" t="str">
        <f>IF(Projects!K22&lt;&gt;"",Projects!K22,"")</f>
        <v/>
      </c>
      <c r="L13">
        <f>IF(AND(Projects!E22&lt;&gt;"", Projects!F22&lt;&gt;""),
INDEX('Duration Table'!$D$7:$H$17,MATCH(Projects!E22,'Duration Table'!$C$7:$C$17,0),MATCH(Projects!F22,'Duration Table'!$D$6:$H$6)),
   ""
)</f>
        <v>36</v>
      </c>
      <c r="M13" s="45" cm="1">
        <f t="array" ref="M13">_xlfn.IFS(
    G13&lt;&gt;"",G13,
    H13&lt;&gt;"",EDATE(H13,-0.25*L13),
    N13&lt;&gt;"",EDATE(N13,-0.25*L13),
    TRUE,""
)</f>
        <v>46235</v>
      </c>
      <c r="N13" s="45" cm="1">
        <f t="array" ref="N13">_xlfn.IFS(
    H13&lt;&gt;"", H13,
    COUNT(G13,I13)=2, (G13 + (DATEDIF(G13,I13,"d")*0.5)),
    COUNT(G13,J13)=2, (G13 + (DATEDIF(G13,J13,"d")*0.25)),
    COUNT(G13,K13)=2, (G13 + ((DATEDIF(G13,K13,"d")-90)*0.25)),
    COUNT(I13,J13)=2, (I13 -(DATEDIF(I13,J13,"d")*0.5)),
    COUNT(I13,K13)=2, (I13 -((DATEDIF(I13,K13,"d")-90)*0.5)),
    G13&lt;&gt;"", EDATE(G13, + L13*0.25),
    I13&lt;&gt;"", EDATE(I13, - L13*0.25),
    J13&lt;&gt;"", EDATE(J13, - L13*0.75),
    K13&lt;&gt;"", EDATE(K13, -((L13*0.75)+3)),
    TRUE, ""
)</f>
        <v>46327</v>
      </c>
      <c r="O13" s="45" cm="1">
        <f t="array" ref="O13">_xlfn.IFS(
    I13&lt;&gt;"", I13,
    COUNT(H13,J13)=2, (H13 + (DATEDIF(H13,J13,"d")*0.33)),
    COUNT(H13,K13)=2, (H13 + ((DATEDIF(H13,K13,"d")-90)*0.33)),
    COUNT(G13,J13)=2, (G13 +  DATEDIF(G13,J13,"d")*0.5),
    COUNT(G13,K13)=2, (G13 + (DATEDIF(G13,K13,"d")-90)*0.5),
    G13&lt;&gt;"", EDATE(G13, + L13*0.5),
    H13&lt;&gt;"", EDATE(H13, + L13*0.25),
    J13&lt;&gt;"", EDATE(J13, - L13*0.5),
    K13&lt;&gt;"", EDATE(K13, -((L13*0.5)+3)),
    TRUE, ""
)</f>
        <v>46647.43</v>
      </c>
      <c r="P13" s="45" cm="1">
        <f t="array" ref="P13">_xlfn.IFS(
    J13&lt;&gt;"", J13,
    K13&lt;&gt;"", EDATE(K13, -3),
    G13&lt;&gt;"", EDATE(G13, + L13),
    H13&lt;&gt;"", EDATE(H13, + L13*0.75),
    I13&lt;&gt;"", EDATE(I13, H L13*0.5),
    TRUE, ""
)</f>
        <v>47298</v>
      </c>
      <c r="Q13" s="45" cm="1">
        <f t="array" ref="Q13">_xlfn.IFS(
    K13&lt;&gt;"",K13,
    J13&lt;&gt;"",EDATE(J13,3),
    P13&lt;&gt;"",EDATE(P13,3),
    TRUE,""
)</f>
        <v>47390</v>
      </c>
    </row>
    <row r="14" spans="1:17" x14ac:dyDescent="0.3">
      <c r="A14" t="str">
        <f>IF(AND(Projects!A23="", Projects!B23=""), "", IF(Projects!A23="", "Unassigned", Projects!A23))</f>
        <v>Urban Gas Upgrades</v>
      </c>
      <c r="B14" t="str">
        <f>IF(Projects!B23&lt;&gt;"",Projects!B23,"")</f>
        <v>Mesa Valley Gas Reliability</v>
      </c>
      <c r="C14" t="str">
        <f>IF(AND(Projects!C23="", Projects!B23=""), "", IF(Projects!C23="", "None", Projects!C23))</f>
        <v>Linear Assets</v>
      </c>
      <c r="D14" t="str">
        <f>IF(AND(Projects!D23="", Projects!B23=""), "", IF(Projects!D23="", "No OpCo", Projects!D23))</f>
        <v>PSCo</v>
      </c>
      <c r="E14" t="str">
        <f>IF(Projects!E23&lt;&gt;"",Projects!E23,"")</f>
        <v>Gas</v>
      </c>
      <c r="F14">
        <f>IF(Projects!F23&lt;&gt;"",Projects!F23,"")</f>
        <v>84</v>
      </c>
      <c r="G14" s="45">
        <f>IF(Projects!G23&lt;&gt;"",Projects!G23,"")</f>
        <v>46388</v>
      </c>
      <c r="H14" s="45">
        <f>IF(Projects!H23&lt;&gt;"",Projects!H23,"")</f>
        <v>46478</v>
      </c>
      <c r="I14" s="45" t="str">
        <f>IF(Projects!I23&lt;&gt;"",Projects!I23,"")</f>
        <v/>
      </c>
      <c r="J14" s="45">
        <f>IF(Projects!J23&lt;&gt;"",Projects!J23,"")</f>
        <v>47321</v>
      </c>
      <c r="K14" s="45" t="str">
        <f>IF(Projects!K23&lt;&gt;"",Projects!K23,"")</f>
        <v/>
      </c>
      <c r="L14">
        <f>IF(AND(Projects!E23&lt;&gt;"", Projects!F23&lt;&gt;""),
INDEX('Duration Table'!$D$7:$H$17,MATCH(Projects!E23,'Duration Table'!$C$7:$C$17,0),MATCH(Projects!F23,'Duration Table'!$D$6:$H$6)),
   ""
)</f>
        <v>30</v>
      </c>
      <c r="M14" s="45" cm="1">
        <f t="array" ref="M14">_xlfn.IFS(
    G14&lt;&gt;"",G14,
    H14&lt;&gt;"",EDATE(H14,-0.25*L14),
    N14&lt;&gt;"",EDATE(N14,-0.25*L14),
    TRUE,""
)</f>
        <v>46388</v>
      </c>
      <c r="N14" s="45" cm="1">
        <f t="array" ref="N14">_xlfn.IFS(
    H14&lt;&gt;"", H14,
    COUNT(G14,I14)=2, (G14 + (DATEDIF(G14,I14,"d")*0.5)),
    COUNT(G14,J14)=2, (G14 + (DATEDIF(G14,J14,"d")*0.25)),
    COUNT(G14,K14)=2, (G14 + ((DATEDIF(G14,K14,"d")-90)*0.25)),
    COUNT(I14,J14)=2, (I14 -(DATEDIF(I14,J14,"d")*0.5)),
    COUNT(I14,K14)=2, (I14 -((DATEDIF(I14,K14,"d")-90)*0.5)),
    G14&lt;&gt;"", EDATE(G14, + L14*0.25),
    I14&lt;&gt;"", EDATE(I14, - L14*0.25),
    J14&lt;&gt;"", EDATE(J14, - L14*0.75),
    K14&lt;&gt;"", EDATE(K14, -((L14*0.75)+3)),
    TRUE, ""
)</f>
        <v>46478</v>
      </c>
      <c r="O14" s="45" cm="1">
        <f t="array" ref="O14">_xlfn.IFS(
    I14&lt;&gt;"", I14,
    COUNT(H14,J14)=2, (H14 + (DATEDIF(H14,J14,"d")*0.33)),
    COUNT(H14,K14)=2, (H14 + ((DATEDIF(H14,K14,"d")-90)*0.33)),
    COUNT(G14,J14)=2, (G14 +  DATEDIF(G14,J14,"d")*0.5),
    COUNT(G14,K14)=2, (G14 + (DATEDIF(G14,K14,"d")-90)*0.5),
    G14&lt;&gt;"", EDATE(G14, + L14*0.5),
    H14&lt;&gt;"", EDATE(H14, + L14*0.25),
    J14&lt;&gt;"", EDATE(J14, - L14*0.5),
    K14&lt;&gt;"", EDATE(K14, -((L14*0.5)+3)),
    TRUE, ""
)</f>
        <v>46756.19</v>
      </c>
      <c r="P14" s="45" cm="1">
        <f t="array" ref="P14">_xlfn.IFS(
    J14&lt;&gt;"", J14,
    K14&lt;&gt;"", EDATE(K14, -3),
    G14&lt;&gt;"", EDATE(G14, + L14),
    H14&lt;&gt;"", EDATE(H14, + L14*0.75),
    I14&lt;&gt;"", EDATE(I14, H L14*0.5),
    TRUE, ""
)</f>
        <v>47321</v>
      </c>
      <c r="Q14" s="45" cm="1">
        <f t="array" ref="Q14">_xlfn.IFS(
    K14&lt;&gt;"",K14,
    J14&lt;&gt;"",EDATE(J14,3),
    P14&lt;&gt;"",EDATE(P14,3),
    TRUE,""
)</f>
        <v>47413</v>
      </c>
    </row>
    <row r="15" spans="1:17" x14ac:dyDescent="0.3">
      <c r="A15" t="str">
        <f>IF(AND(Projects!A24="", Projects!B24=""), "", IF(Projects!A24="", "Unassigned", Projects!A24))</f>
        <v>Highlands Buildout</v>
      </c>
      <c r="B15" t="str">
        <f>IF(Projects!B24&lt;&gt;"",Projects!B24,"")</f>
        <v>Canyon Ridge Substation Expansion</v>
      </c>
      <c r="C15" t="str">
        <f>IF(AND(Projects!C24="", Projects!B24=""), "", IF(Projects!C24="", "None", Projects!C24))</f>
        <v>Linear Assets</v>
      </c>
      <c r="D15" t="str">
        <f>IF(AND(Projects!D24="", Projects!B24=""), "", IF(Projects!D24="", "No OpCo", Projects!D24))</f>
        <v>SPS</v>
      </c>
      <c r="E15" t="str">
        <f>IF(Projects!E24&lt;&gt;"",Projects!E24,"")</f>
        <v>Substation</v>
      </c>
      <c r="F15">
        <f>IF(Projects!F24&lt;&gt;"",Projects!F24,"")</f>
        <v>80</v>
      </c>
      <c r="G15" s="45" t="str">
        <f>IF(Projects!G24&lt;&gt;"",Projects!G24,"")</f>
        <v/>
      </c>
      <c r="H15" s="45" t="str">
        <f>IF(Projects!H24&lt;&gt;"",Projects!H24,"")</f>
        <v/>
      </c>
      <c r="I15" s="45" t="str">
        <f>IF(Projects!I24&lt;&gt;"",Projects!I24,"")</f>
        <v/>
      </c>
      <c r="J15" s="45">
        <f>IF(Projects!J24&lt;&gt;"",Projects!J24,"")</f>
        <v>47331</v>
      </c>
      <c r="K15" s="45" t="str">
        <f>IF(Projects!K24&lt;&gt;"",Projects!K24,"")</f>
        <v/>
      </c>
      <c r="L15">
        <f>IF(AND(Projects!E24&lt;&gt;"", Projects!F24&lt;&gt;""),
INDEX('Duration Table'!$D$7:$H$17,MATCH(Projects!E24,'Duration Table'!$C$7:$C$17,0),MATCH(Projects!F24,'Duration Table'!$D$6:$H$6)),
   ""
)</f>
        <v>24</v>
      </c>
      <c r="M15" s="45" cm="1">
        <f t="array" ref="M15">_xlfn.IFS(
    G15&lt;&gt;"",G15,
    H15&lt;&gt;"",EDATE(H15,-0.25*L15),
    N15&lt;&gt;"",EDATE(N15,-0.25*L15),
    TRUE,""
)</f>
        <v>46600</v>
      </c>
      <c r="N15" s="45" cm="1">
        <f t="array" ref="N15">_xlfn.IFS(
    H15&lt;&gt;"", H15,
    COUNT(G15,I15)=2, (G15 + (DATEDIF(G15,I15,"d")*0.5)),
    COUNT(G15,J15)=2, (G15 + (DATEDIF(G15,J15,"d")*0.25)),
    COUNT(G15,K15)=2, (G15 + ((DATEDIF(G15,K15,"d")-90)*0.25)),
    COUNT(I15,J15)=2, (I15 -(DATEDIF(I15,J15,"d")*0.5)),
    COUNT(I15,K15)=2, (I15 -((DATEDIF(I15,K15,"d")-90)*0.5)),
    G15&lt;&gt;"", EDATE(G15, + L15*0.25),
    I15&lt;&gt;"", EDATE(I15, - L15*0.25),
    J15&lt;&gt;"", EDATE(J15, - L15*0.75),
    K15&lt;&gt;"", EDATE(K15, -((L15*0.75)+3)),
    TRUE, ""
)</f>
        <v>46784</v>
      </c>
      <c r="O15" s="45" cm="1">
        <f t="array" ref="O15">_xlfn.IFS(
    I15&lt;&gt;"", I15,
    COUNT(H15,J15)=2, (H15 + (DATEDIF(H15,J15,"d")*0.33)),
    COUNT(H15,K15)=2, (H15 + ((DATEDIF(H15,K15,"d")-90)*0.33)),
    COUNT(G15,J15)=2, (G15 +  DATEDIF(G15,J15,"d")*0.5),
    COUNT(G15,K15)=2, (G15 + (DATEDIF(G15,K15,"d")-90)*0.5),
    G15&lt;&gt;"", EDATE(G15, + L15*0.5),
    H15&lt;&gt;"", EDATE(H15, + L15*0.25),
    J15&lt;&gt;"", EDATE(J15, - L15*0.5),
    K15&lt;&gt;"", EDATE(K15, -((L15*0.5)+3)),
    TRUE, ""
)</f>
        <v>46966</v>
      </c>
      <c r="P15" s="45" cm="1">
        <f t="array" ref="P15">_xlfn.IFS(
    J15&lt;&gt;"", J15,
    K15&lt;&gt;"", EDATE(K15, -3),
    G15&lt;&gt;"", EDATE(G15, + L15),
    H15&lt;&gt;"", EDATE(H15, + L15*0.75),
    I15&lt;&gt;"", EDATE(I15, H L15*0.5),
    TRUE, ""
)</f>
        <v>47331</v>
      </c>
      <c r="Q15" s="45" cm="1">
        <f t="array" ref="Q15">_xlfn.IFS(
    K15&lt;&gt;"",K15,
    J15&lt;&gt;"",EDATE(J15,3),
    P15&lt;&gt;"",EDATE(P15,3),
    TRUE,""
)</f>
        <v>47423</v>
      </c>
    </row>
    <row r="16" spans="1:17" x14ac:dyDescent="0.3">
      <c r="A16" t="str">
        <f>IF(AND(Projects!A25="", Projects!B25=""), "", IF(Projects!A25="", "Unassigned", Projects!A25))</f>
        <v>Urban Gas Upgrades</v>
      </c>
      <c r="B16" t="str">
        <f>IF(Projects!B25&lt;&gt;"",Projects!B25,"")</f>
        <v>Ironhorse Gas Reinforcement</v>
      </c>
      <c r="C16" t="str">
        <f>IF(AND(Projects!C25="", Projects!B25=""), "", IF(Projects!C25="", "None", Projects!C25))</f>
        <v>Linear Assets</v>
      </c>
      <c r="D16" t="str">
        <f>IF(AND(Projects!D25="", Projects!B25=""), "", IF(Projects!D25="", "No OpCo", Projects!D25))</f>
        <v>PSCo</v>
      </c>
      <c r="E16" t="str">
        <f>IF(Projects!E25&lt;&gt;"",Projects!E25,"")</f>
        <v>Gas</v>
      </c>
      <c r="F16">
        <f>IF(Projects!F25&lt;&gt;"",Projects!F25,"")</f>
        <v>44</v>
      </c>
      <c r="G16" s="45" t="str">
        <f>IF(Projects!G25&lt;&gt;"",Projects!G25,"")</f>
        <v/>
      </c>
      <c r="H16" s="45" t="str">
        <f>IF(Projects!H25&lt;&gt;"",Projects!H25,"")</f>
        <v/>
      </c>
      <c r="I16" s="45" t="str">
        <f>IF(Projects!I25&lt;&gt;"",Projects!I25,"")</f>
        <v/>
      </c>
      <c r="J16" s="45">
        <f>IF(Projects!J25&lt;&gt;"",Projects!J25,"")</f>
        <v>47331</v>
      </c>
      <c r="K16" s="45" t="str">
        <f>IF(Projects!K25&lt;&gt;"",Projects!K25,"")</f>
        <v/>
      </c>
      <c r="L16">
        <f>IF(AND(Projects!E25&lt;&gt;"", Projects!F25&lt;&gt;""),
INDEX('Duration Table'!$D$7:$H$17,MATCH(Projects!E25,'Duration Table'!$C$7:$C$17,0),MATCH(Projects!F25,'Duration Table'!$D$6:$H$6)),
   ""
)</f>
        <v>24</v>
      </c>
      <c r="M16" s="45" cm="1">
        <f t="array" ref="M16">_xlfn.IFS(
    G16&lt;&gt;"",G16,
    H16&lt;&gt;"",EDATE(H16,-0.25*L16),
    N16&lt;&gt;"",EDATE(N16,-0.25*L16),
    TRUE,""
)</f>
        <v>46600</v>
      </c>
      <c r="N16" s="45" cm="1">
        <f t="array" ref="N16">_xlfn.IFS(
    H16&lt;&gt;"", H16,
    COUNT(G16,I16)=2, (G16 + (DATEDIF(G16,I16,"d")*0.5)),
    COUNT(G16,J16)=2, (G16 + (DATEDIF(G16,J16,"d")*0.25)),
    COUNT(G16,K16)=2, (G16 + ((DATEDIF(G16,K16,"d")-90)*0.25)),
    COUNT(I16,J16)=2, (I16 -(DATEDIF(I16,J16,"d")*0.5)),
    COUNT(I16,K16)=2, (I16 -((DATEDIF(I16,K16,"d")-90)*0.5)),
    G16&lt;&gt;"", EDATE(G16, + L16*0.25),
    I16&lt;&gt;"", EDATE(I16, - L16*0.25),
    J16&lt;&gt;"", EDATE(J16, - L16*0.75),
    K16&lt;&gt;"", EDATE(K16, -((L16*0.75)+3)),
    TRUE, ""
)</f>
        <v>46784</v>
      </c>
      <c r="O16" s="45" cm="1">
        <f t="array" ref="O16">_xlfn.IFS(
    I16&lt;&gt;"", I16,
    COUNT(H16,J16)=2, (H16 + (DATEDIF(H16,J16,"d")*0.33)),
    COUNT(H16,K16)=2, (H16 + ((DATEDIF(H16,K16,"d")-90)*0.33)),
    COUNT(G16,J16)=2, (G16 +  DATEDIF(G16,J16,"d")*0.5),
    COUNT(G16,K16)=2, (G16 + (DATEDIF(G16,K16,"d")-90)*0.5),
    G16&lt;&gt;"", EDATE(G16, + L16*0.5),
    H16&lt;&gt;"", EDATE(H16, + L16*0.25),
    J16&lt;&gt;"", EDATE(J16, - L16*0.5),
    K16&lt;&gt;"", EDATE(K16, -((L16*0.5)+3)),
    TRUE, ""
)</f>
        <v>46966</v>
      </c>
      <c r="P16" s="45" cm="1">
        <f t="array" ref="P16">_xlfn.IFS(
    J16&lt;&gt;"", J16,
    K16&lt;&gt;"", EDATE(K16, -3),
    G16&lt;&gt;"", EDATE(G16, + L16),
    H16&lt;&gt;"", EDATE(H16, + L16*0.75),
    I16&lt;&gt;"", EDATE(I16, H L16*0.5),
    TRUE, ""
)</f>
        <v>47331</v>
      </c>
      <c r="Q16" s="45" cm="1">
        <f t="array" ref="Q16">_xlfn.IFS(
    K16&lt;&gt;"",K16,
    J16&lt;&gt;"",EDATE(J16,3),
    P16&lt;&gt;"",EDATE(P16,3),
    TRUE,""
)</f>
        <v>47423</v>
      </c>
    </row>
    <row r="17" spans="1:17" x14ac:dyDescent="0.3">
      <c r="A17" t="str">
        <f>IF(AND(Projects!A26="", Projects!B26=""), "", IF(Projects!A26="", "Unassigned", Projects!A26))</f>
        <v>Southwest Energy Supply</v>
      </c>
      <c r="B17" t="str">
        <f>IF(Projects!B26&lt;&gt;"",Projects!B26,"")</f>
        <v>Prairie Gale Wind Park</v>
      </c>
      <c r="C17" t="str">
        <f>IF(AND(Projects!C26="", Projects!B26=""), "", IF(Projects!C26="", "None", Projects!C26))</f>
        <v>Fixed Assets</v>
      </c>
      <c r="D17" t="str">
        <f>IF(AND(Projects!D26="", Projects!B26=""), "", IF(Projects!D26="", "No OpCo", Projects!D26))</f>
        <v>SPS</v>
      </c>
      <c r="E17" t="str">
        <f>IF(Projects!E26&lt;&gt;"",Projects!E26,"")</f>
        <v>Wind</v>
      </c>
      <c r="F17">
        <f>IF(Projects!F26&lt;&gt;"",Projects!F26,"")</f>
        <v>612</v>
      </c>
      <c r="G17" s="45">
        <f>IF(Projects!G26&lt;&gt;"",Projects!G26,"")</f>
        <v>46249</v>
      </c>
      <c r="H17" s="45" t="str">
        <f>IF(Projects!H26&lt;&gt;"",Projects!H26,"")</f>
        <v/>
      </c>
      <c r="I17" s="45" t="str">
        <f>IF(Projects!I26&lt;&gt;"",Projects!I26,"")</f>
        <v/>
      </c>
      <c r="J17" s="45">
        <f>IF(Projects!J26&lt;&gt;"",Projects!J26,"")</f>
        <v>47331</v>
      </c>
      <c r="K17" s="45" t="str">
        <f>IF(Projects!K26&lt;&gt;"",Projects!K26,"")</f>
        <v/>
      </c>
      <c r="L17">
        <f>IF(AND(Projects!E26&lt;&gt;"", Projects!F26&lt;&gt;""),
INDEX('Duration Table'!$D$7:$H$17,MATCH(Projects!E26,'Duration Table'!$C$7:$C$17,0),MATCH(Projects!F26,'Duration Table'!$D$6:$H$6)),
   ""
)</f>
        <v>42</v>
      </c>
      <c r="M17" s="45" cm="1">
        <f t="array" ref="M17">_xlfn.IFS(
    G17&lt;&gt;"",G17,
    H17&lt;&gt;"",EDATE(H17,-0.25*L17),
    N17&lt;&gt;"",EDATE(N17,-0.25*L17),
    TRUE,""
)</f>
        <v>46249</v>
      </c>
      <c r="N17" s="45" cm="1">
        <f t="array" ref="N17">_xlfn.IFS(
    H17&lt;&gt;"", H17,
    COUNT(G17,I17)=2, (G17 + (DATEDIF(G17,I17,"d")*0.5)),
    COUNT(G17,J17)=2, (G17 + (DATEDIF(G17,J17,"d")*0.25)),
    COUNT(G17,K17)=2, (G17 + ((DATEDIF(G17,K17,"d")-90)*0.25)),
    COUNT(I17,J17)=2, (I17 -(DATEDIF(I17,J17,"d")*0.5)),
    COUNT(I17,K17)=2, (I17 -((DATEDIF(I17,K17,"d")-90)*0.5)),
    G17&lt;&gt;"", EDATE(G17, + L17*0.25),
    I17&lt;&gt;"", EDATE(I17, - L17*0.25),
    J17&lt;&gt;"", EDATE(J17, - L17*0.75),
    K17&lt;&gt;"", EDATE(K17, -((L17*0.75)+3)),
    TRUE, ""
)</f>
        <v>46519.5</v>
      </c>
      <c r="O17" s="45" cm="1">
        <f t="array" ref="O17">_xlfn.IFS(
    I17&lt;&gt;"", I17,
    COUNT(H17,J17)=2, (H17 + (DATEDIF(H17,J17,"d")*0.33)),
    COUNT(H17,K17)=2, (H17 + ((DATEDIF(H17,K17,"d")-90)*0.33)),
    COUNT(G17,J17)=2, (G17 +  DATEDIF(G17,J17,"d")*0.5),
    COUNT(G17,K17)=2, (G17 + (DATEDIF(G17,K17,"d")-90)*0.5),
    G17&lt;&gt;"", EDATE(G17, + L17*0.5),
    H17&lt;&gt;"", EDATE(H17, + L17*0.25),
    J17&lt;&gt;"", EDATE(J17, - L17*0.5),
    K17&lt;&gt;"", EDATE(K17, -((L17*0.5)+3)),
    TRUE, ""
)</f>
        <v>46790</v>
      </c>
      <c r="P17" s="45" cm="1">
        <f t="array" ref="P17">_xlfn.IFS(
    J17&lt;&gt;"", J17,
    K17&lt;&gt;"", EDATE(K17, -3),
    G17&lt;&gt;"", EDATE(G17, + L17),
    H17&lt;&gt;"", EDATE(H17, + L17*0.75),
    I17&lt;&gt;"", EDATE(I17, H L17*0.5),
    TRUE, ""
)</f>
        <v>47331</v>
      </c>
      <c r="Q17" s="45" cm="1">
        <f t="array" ref="Q17">_xlfn.IFS(
    K17&lt;&gt;"",K17,
    J17&lt;&gt;"",EDATE(J17,3),
    P17&lt;&gt;"",EDATE(P17,3),
    TRUE,""
)</f>
        <v>47423</v>
      </c>
    </row>
    <row r="18" spans="1:17" x14ac:dyDescent="0.3">
      <c r="A18" t="str">
        <f>IF(AND(Projects!A27="", Projects!B27=""), "", IF(Projects!A27="", "Unassigned", Projects!A27))</f>
        <v>Southwest Energy Supply</v>
      </c>
      <c r="B18" t="str">
        <f>IF(Projects!B27&lt;&gt;"",Projects!B27,"")</f>
        <v>Sunridge Solar Farm</v>
      </c>
      <c r="C18" t="str">
        <f>IF(AND(Projects!C27="", Projects!B27=""), "", IF(Projects!C27="", "None", Projects!C27))</f>
        <v>Fixed Assets</v>
      </c>
      <c r="D18" t="str">
        <f>IF(AND(Projects!D27="", Projects!B27=""), "", IF(Projects!D27="", "No OpCo", Projects!D27))</f>
        <v>SPS</v>
      </c>
      <c r="E18" t="str">
        <f>IF(Projects!E27&lt;&gt;"",Projects!E27,"")</f>
        <v>Solar</v>
      </c>
      <c r="F18">
        <f>IF(Projects!F27&lt;&gt;"",Projects!F27,"")</f>
        <v>447.73333700000001</v>
      </c>
      <c r="G18" s="45" t="str">
        <f>IF(Projects!G27&lt;&gt;"",Projects!G27,"")</f>
        <v/>
      </c>
      <c r="H18" s="45" t="str">
        <f>IF(Projects!H27&lt;&gt;"",Projects!H27,"")</f>
        <v/>
      </c>
      <c r="I18" s="45" t="str">
        <f>IF(Projects!I27&lt;&gt;"",Projects!I27,"")</f>
        <v/>
      </c>
      <c r="J18" s="45">
        <f>IF(Projects!J27&lt;&gt;"",Projects!J27,"")</f>
        <v>47376</v>
      </c>
      <c r="K18" s="45" t="str">
        <f>IF(Projects!K27&lt;&gt;"",Projects!K27,"")</f>
        <v/>
      </c>
      <c r="L18">
        <f>IF(AND(Projects!E27&lt;&gt;"", Projects!F27&lt;&gt;""),
INDEX('Duration Table'!$D$7:$H$17,MATCH(Projects!E27,'Duration Table'!$C$7:$C$17,0),MATCH(Projects!F27,'Duration Table'!$D$6:$H$6)),
   ""
)</f>
        <v>36</v>
      </c>
      <c r="M18" s="45" cm="1">
        <f t="array" ref="M18">_xlfn.IFS(
    G18&lt;&gt;"",G18,
    H18&lt;&gt;"",EDATE(H18,-0.25*L18),
    N18&lt;&gt;"",EDATE(N18,-0.25*L18),
    TRUE,""
)</f>
        <v>46280</v>
      </c>
      <c r="N18" s="45" cm="1">
        <f t="array" ref="N18">_xlfn.IFS(
    H18&lt;&gt;"", H18,
    COUNT(G18,I18)=2, (G18 + (DATEDIF(G18,I18,"d")*0.5)),
    COUNT(G18,J18)=2, (G18 + (DATEDIF(G18,J18,"d")*0.25)),
    COUNT(G18,K18)=2, (G18 + ((DATEDIF(G18,K18,"d")-90)*0.25)),
    COUNT(I18,J18)=2, (I18 -(DATEDIF(I18,J18,"d")*0.5)),
    COUNT(I18,K18)=2, (I18 -((DATEDIF(I18,K18,"d")-90)*0.5)),
    G18&lt;&gt;"", EDATE(G18, + L18*0.25),
    I18&lt;&gt;"", EDATE(I18, - L18*0.25),
    J18&lt;&gt;"", EDATE(J18, - L18*0.75),
    K18&lt;&gt;"", EDATE(K18, -((L18*0.75)+3)),
    TRUE, ""
)</f>
        <v>46553</v>
      </c>
      <c r="O18" s="45" cm="1">
        <f t="array" ref="O18">_xlfn.IFS(
    I18&lt;&gt;"", I18,
    COUNT(H18,J18)=2, (H18 + (DATEDIF(H18,J18,"d")*0.33)),
    COUNT(H18,K18)=2, (H18 + ((DATEDIF(H18,K18,"d")-90)*0.33)),
    COUNT(G18,J18)=2, (G18 +  DATEDIF(G18,J18,"d")*0.5),
    COUNT(G18,K18)=2, (G18 + (DATEDIF(G18,K18,"d")-90)*0.5),
    G18&lt;&gt;"", EDATE(G18, + L18*0.5),
    H18&lt;&gt;"", EDATE(H18, + L18*0.25),
    J18&lt;&gt;"", EDATE(J18, - L18*0.5),
    K18&lt;&gt;"", EDATE(K18, -((L18*0.5)+3)),
    TRUE, ""
)</f>
        <v>46827</v>
      </c>
      <c r="P18" s="45" cm="1">
        <f t="array" ref="P18">_xlfn.IFS(
    J18&lt;&gt;"", J18,
    K18&lt;&gt;"", EDATE(K18, -3),
    G18&lt;&gt;"", EDATE(G18, + L18),
    H18&lt;&gt;"", EDATE(H18, + L18*0.75),
    I18&lt;&gt;"", EDATE(I18, H L18*0.5),
    TRUE, ""
)</f>
        <v>47376</v>
      </c>
      <c r="Q18" s="45" cm="1">
        <f t="array" ref="Q18">_xlfn.IFS(
    K18&lt;&gt;"",K18,
    J18&lt;&gt;"",EDATE(J18,3),
    P18&lt;&gt;"",EDATE(P18,3),
    TRUE,""
)</f>
        <v>47467</v>
      </c>
    </row>
    <row r="19" spans="1:17" x14ac:dyDescent="0.3">
      <c r="A19" t="str">
        <f>IF(AND(Projects!A28="", Projects!B28=""), "", IF(Projects!A28="", "Unassigned", Projects!A28))</f>
        <v>Southwest Energy Supply</v>
      </c>
      <c r="B19" t="str">
        <f>IF(Projects!B28&lt;&gt;"",Projects!B28,"")</f>
        <v>Riverbend Intake Upgrade</v>
      </c>
      <c r="C19" t="str">
        <f>IF(AND(Projects!C28="", Projects!B28=""), "", IF(Projects!C28="", "None", Projects!C28))</f>
        <v>Fixed Assets</v>
      </c>
      <c r="D19" t="str">
        <f>IF(AND(Projects!D28="", Projects!B28=""), "", IF(Projects!D28="", "No OpCo", Projects!D28))</f>
        <v>PSCo</v>
      </c>
      <c r="E19" t="str">
        <f>IF(Projects!E28&lt;&gt;"",Projects!E28,"")</f>
        <v>Hydro</v>
      </c>
      <c r="F19">
        <f>IF(Projects!F28&lt;&gt;"",Projects!F28,"")</f>
        <v>225.12786500000001</v>
      </c>
      <c r="G19" s="45" t="str">
        <f>IF(Projects!G28&lt;&gt;"",Projects!G28,"")</f>
        <v/>
      </c>
      <c r="H19" s="45" t="str">
        <f>IF(Projects!H28&lt;&gt;"",Projects!H28,"")</f>
        <v/>
      </c>
      <c r="I19" s="45" t="str">
        <f>IF(Projects!I28&lt;&gt;"",Projects!I28,"")</f>
        <v/>
      </c>
      <c r="J19" s="45">
        <f>IF(Projects!J28&lt;&gt;"",Projects!J28,"")</f>
        <v>47387</v>
      </c>
      <c r="K19" s="45" t="str">
        <f>IF(Projects!K28&lt;&gt;"",Projects!K28,"")</f>
        <v/>
      </c>
      <c r="L19">
        <f>IF(AND(Projects!E28&lt;&gt;"", Projects!F28&lt;&gt;""),
INDEX('Duration Table'!$D$7:$H$17,MATCH(Projects!E28,'Duration Table'!$C$7:$C$17,0),MATCH(Projects!F28,'Duration Table'!$D$6:$H$6)),
   ""
)</f>
        <v>30</v>
      </c>
      <c r="M19" s="45" cm="1">
        <f t="array" ref="M19">_xlfn.IFS(
    G19&lt;&gt;"",G19,
    H19&lt;&gt;"",EDATE(H19,-0.25*L19),
    N19&lt;&gt;"",EDATE(N19,-0.25*L19),
    TRUE,""
)</f>
        <v>46503</v>
      </c>
      <c r="N19" s="45" cm="1">
        <f t="array" ref="N19">_xlfn.IFS(
    H19&lt;&gt;"", H19,
    COUNT(G19,I19)=2, (G19 + (DATEDIF(G19,I19,"d")*0.5)),
    COUNT(G19,J19)=2, (G19 + (DATEDIF(G19,J19,"d")*0.25)),
    COUNT(G19,K19)=2, (G19 + ((DATEDIF(G19,K19,"d")-90)*0.25)),
    COUNT(I19,J19)=2, (I19 -(DATEDIF(I19,J19,"d")*0.5)),
    COUNT(I19,K19)=2, (I19 -((DATEDIF(I19,K19,"d")-90)*0.5)),
    G19&lt;&gt;"", EDATE(G19, + L19*0.25),
    I19&lt;&gt;"", EDATE(I19, - L19*0.25),
    J19&lt;&gt;"", EDATE(J19, - L19*0.75),
    K19&lt;&gt;"", EDATE(K19, -((L19*0.75)+3)),
    TRUE, ""
)</f>
        <v>46717</v>
      </c>
      <c r="O19" s="45" cm="1">
        <f t="array" ref="O19">_xlfn.IFS(
    I19&lt;&gt;"", I19,
    COUNT(H19,J19)=2, (H19 + (DATEDIF(H19,J19,"d")*0.33)),
    COUNT(H19,K19)=2, (H19 + ((DATEDIF(H19,K19,"d")-90)*0.33)),
    COUNT(G19,J19)=2, (G19 +  DATEDIF(G19,J19,"d")*0.5),
    COUNT(G19,K19)=2, (G19 + (DATEDIF(G19,K19,"d")-90)*0.5),
    G19&lt;&gt;"", EDATE(G19, + L19*0.5),
    H19&lt;&gt;"", EDATE(H19, + L19*0.25),
    J19&lt;&gt;"", EDATE(J19, - L19*0.5),
    K19&lt;&gt;"", EDATE(K19, -((L19*0.5)+3)),
    TRUE, ""
)</f>
        <v>46930</v>
      </c>
      <c r="P19" s="45" cm="1">
        <f t="array" ref="P19">_xlfn.IFS(
    J19&lt;&gt;"", J19,
    K19&lt;&gt;"", EDATE(K19, -3),
    G19&lt;&gt;"", EDATE(G19, + L19),
    H19&lt;&gt;"", EDATE(H19, + L19*0.75),
    I19&lt;&gt;"", EDATE(I19, H L19*0.5),
    TRUE, ""
)</f>
        <v>47387</v>
      </c>
      <c r="Q19" s="45" cm="1">
        <f t="array" ref="Q19">_xlfn.IFS(
    K19&lt;&gt;"",K19,
    J19&lt;&gt;"",EDATE(J19,3),
    P19&lt;&gt;"",EDATE(P19,3),
    TRUE,""
)</f>
        <v>47478</v>
      </c>
    </row>
    <row r="20" spans="1:17" x14ac:dyDescent="0.3">
      <c r="A20" t="str">
        <f>IF(AND(Projects!A29="", Projects!B29=""), "", IF(Projects!A29="", "Unassigned", Projects!A29))</f>
        <v>Urban Renewal</v>
      </c>
      <c r="B20" t="str">
        <f>IF(Projects!B29&lt;&gt;"",Projects!B29,"")</f>
        <v>Redstone Valley Substation Upgrade</v>
      </c>
      <c r="C20" t="str">
        <f>IF(AND(Projects!C29="", Projects!B29=""), "", IF(Projects!C29="", "None", Projects!C29))</f>
        <v>Linear Assets</v>
      </c>
      <c r="D20" t="str">
        <f>IF(AND(Projects!D29="", Projects!B29=""), "", IF(Projects!D29="", "No OpCo", Projects!D29))</f>
        <v>PSCo</v>
      </c>
      <c r="E20" t="str">
        <f>IF(Projects!E29&lt;&gt;"",Projects!E29,"")</f>
        <v>Substation</v>
      </c>
      <c r="F20">
        <f>IF(Projects!F29&lt;&gt;"",Projects!F29,"")</f>
        <v>49</v>
      </c>
      <c r="G20" s="45">
        <f>IF(Projects!G29&lt;&gt;"",Projects!G29,"")</f>
        <v>46296</v>
      </c>
      <c r="H20" s="45">
        <f>IF(Projects!H29&lt;&gt;"",Projects!H29,"")</f>
        <v>46357</v>
      </c>
      <c r="I20" s="45" t="str">
        <f>IF(Projects!I29&lt;&gt;"",Projects!I29,"")</f>
        <v/>
      </c>
      <c r="J20" s="45">
        <f>IF(Projects!J29&lt;&gt;"",Projects!J29,"")</f>
        <v>47467</v>
      </c>
      <c r="K20" s="45" t="str">
        <f>IF(Projects!K29&lt;&gt;"",Projects!K29,"")</f>
        <v/>
      </c>
      <c r="L20">
        <f>IF(AND(Projects!E29&lt;&gt;"", Projects!F29&lt;&gt;""),
INDEX('Duration Table'!$D$7:$H$17,MATCH(Projects!E29,'Duration Table'!$C$7:$C$17,0),MATCH(Projects!F29,'Duration Table'!$D$6:$H$6)),
   ""
)</f>
        <v>24</v>
      </c>
      <c r="M20" s="45" cm="1">
        <f t="array" ref="M20">_xlfn.IFS(
    G20&lt;&gt;"",G20,
    H20&lt;&gt;"",EDATE(H20,-0.25*L20),
    N20&lt;&gt;"",EDATE(N20,-0.25*L20),
    TRUE,""
)</f>
        <v>46296</v>
      </c>
      <c r="N20" s="45" cm="1">
        <f t="array" ref="N20">_xlfn.IFS(
    H20&lt;&gt;"", H20,
    COUNT(G20,I20)=2, (G20 + (DATEDIF(G20,I20,"d")*0.5)),
    COUNT(G20,J20)=2, (G20 + (DATEDIF(G20,J20,"d")*0.25)),
    COUNT(G20,K20)=2, (G20 + ((DATEDIF(G20,K20,"d")-90)*0.25)),
    COUNT(I20,J20)=2, (I20 -(DATEDIF(I20,J20,"d")*0.5)),
    COUNT(I20,K20)=2, (I20 -((DATEDIF(I20,K20,"d")-90)*0.5)),
    G20&lt;&gt;"", EDATE(G20, + L20*0.25),
    I20&lt;&gt;"", EDATE(I20, - L20*0.25),
    J20&lt;&gt;"", EDATE(J20, - L20*0.75),
    K20&lt;&gt;"", EDATE(K20, -((L20*0.75)+3)),
    TRUE, ""
)</f>
        <v>46357</v>
      </c>
      <c r="O20" s="45" cm="1">
        <f t="array" ref="O20">_xlfn.IFS(
    I20&lt;&gt;"", I20,
    COUNT(H20,J20)=2, (H20 + (DATEDIF(H20,J20,"d")*0.33)),
    COUNT(H20,K20)=2, (H20 + ((DATEDIF(H20,K20,"d")-90)*0.33)),
    COUNT(G20,J20)=2, (G20 +  DATEDIF(G20,J20,"d")*0.5),
    COUNT(G20,K20)=2, (G20 + (DATEDIF(G20,K20,"d")-90)*0.5),
    G20&lt;&gt;"", EDATE(G20, + L20*0.5),
    H20&lt;&gt;"", EDATE(H20, + L20*0.25),
    J20&lt;&gt;"", EDATE(J20, - L20*0.5),
    K20&lt;&gt;"", EDATE(K20, -((L20*0.5)+3)),
    TRUE, ""
)</f>
        <v>46723.3</v>
      </c>
      <c r="P20" s="45" cm="1">
        <f t="array" ref="P20">_xlfn.IFS(
    J20&lt;&gt;"", J20,
    K20&lt;&gt;"", EDATE(K20, -3),
    G20&lt;&gt;"", EDATE(G20, + L20),
    H20&lt;&gt;"", EDATE(H20, + L20*0.75),
    I20&lt;&gt;"", EDATE(I20, H L20*0.5),
    TRUE, ""
)</f>
        <v>47467</v>
      </c>
      <c r="Q20" s="45" cm="1">
        <f t="array" ref="Q20">_xlfn.IFS(
    K20&lt;&gt;"",K20,
    J20&lt;&gt;"",EDATE(J20,3),
    P20&lt;&gt;"",EDATE(P20,3),
    TRUE,""
)</f>
        <v>47557</v>
      </c>
    </row>
    <row r="21" spans="1:17" x14ac:dyDescent="0.3">
      <c r="A21" t="str">
        <f>IF(AND(Projects!A30="", Projects!B30=""), "", IF(Projects!A30="", "Unassigned", Projects!A30))</f>
        <v>Circuit 9991</v>
      </c>
      <c r="B21" t="str">
        <f>IF(Projects!B30&lt;&gt;"",Projects!B30,"")</f>
        <v>Northstar Transmission Loop</v>
      </c>
      <c r="C21" t="str">
        <f>IF(AND(Projects!C30="", Projects!B30=""), "", IF(Projects!C30="", "None", Projects!C30))</f>
        <v>Linear Assets</v>
      </c>
      <c r="D21" t="str">
        <f>IF(AND(Projects!D30="", Projects!B30=""), "", IF(Projects!D30="", "No OpCo", Projects!D30))</f>
        <v>PSCo</v>
      </c>
      <c r="E21" t="str">
        <f>IF(Projects!E30&lt;&gt;"",Projects!E30,"")</f>
        <v>Transmission and Distribution</v>
      </c>
      <c r="F21">
        <f>IF(Projects!F30&lt;&gt;"",Projects!F30,"")</f>
        <v>312.16385500000001</v>
      </c>
      <c r="G21" s="45">
        <f>IF(Projects!G30&lt;&gt;"",Projects!G30,"")</f>
        <v>46296</v>
      </c>
      <c r="H21" s="45" t="str">
        <f>IF(Projects!H30&lt;&gt;"",Projects!H30,"")</f>
        <v/>
      </c>
      <c r="I21" s="45">
        <f>IF(Projects!I30&lt;&gt;"",Projects!I30,"")</f>
        <v>46508</v>
      </c>
      <c r="J21" s="45">
        <f>IF(Projects!J30&lt;&gt;"",Projects!J30,"")</f>
        <v>47475</v>
      </c>
      <c r="K21" s="45" t="str">
        <f>IF(Projects!K30&lt;&gt;"",Projects!K30,"")</f>
        <v/>
      </c>
      <c r="L21">
        <f>IF(AND(Projects!E30&lt;&gt;"", Projects!F30&lt;&gt;""),
INDEX('Duration Table'!$D$7:$H$17,MATCH(Projects!E30,'Duration Table'!$C$7:$C$17,0),MATCH(Projects!F30,'Duration Table'!$D$6:$H$6)),
   ""
)</f>
        <v>36</v>
      </c>
      <c r="M21" s="45" cm="1">
        <f t="array" ref="M21">_xlfn.IFS(
    G21&lt;&gt;"",G21,
    H21&lt;&gt;"",EDATE(H21,-0.25*L21),
    N21&lt;&gt;"",EDATE(N21,-0.25*L21),
    TRUE,""
)</f>
        <v>46296</v>
      </c>
      <c r="N21" s="45" cm="1">
        <f t="array" ref="N21">_xlfn.IFS(
    H21&lt;&gt;"", H21,
    COUNT(G21,I21)=2, (G21 + (DATEDIF(G21,I21,"d")*0.5)),
    COUNT(G21,J21)=2, (G21 + (DATEDIF(G21,J21,"d")*0.25)),
    COUNT(G21,K21)=2, (G21 + ((DATEDIF(G21,K21,"d")-90)*0.25)),
    COUNT(I21,J21)=2, (I21 -(DATEDIF(I21,J21,"d")*0.5)),
    COUNT(I21,K21)=2, (I21 -((DATEDIF(I21,K21,"d")-90)*0.5)),
    G21&lt;&gt;"", EDATE(G21, + L21*0.25),
    I21&lt;&gt;"", EDATE(I21, - L21*0.25),
    J21&lt;&gt;"", EDATE(J21, - L21*0.75),
    K21&lt;&gt;"", EDATE(K21, -((L21*0.75)+3)),
    TRUE, ""
)</f>
        <v>46402</v>
      </c>
      <c r="O21" s="45" cm="1">
        <f t="array" ref="O21">_xlfn.IFS(
    I21&lt;&gt;"", I21,
    COUNT(H21,J21)=2, (H21 + (DATEDIF(H21,J21,"d")*0.33)),
    COUNT(H21,K21)=2, (H21 + ((DATEDIF(H21,K21,"d")-90)*0.33)),
    COUNT(G21,J21)=2, (G21 +  DATEDIF(G21,J21,"d")*0.5),
    COUNT(G21,K21)=2, (G21 + (DATEDIF(G21,K21,"d")-90)*0.5),
    G21&lt;&gt;"", EDATE(G21, + L21*0.5),
    H21&lt;&gt;"", EDATE(H21, + L21*0.25),
    J21&lt;&gt;"", EDATE(J21, - L21*0.5),
    K21&lt;&gt;"", EDATE(K21, -((L21*0.5)+3)),
    TRUE, ""
)</f>
        <v>46508</v>
      </c>
      <c r="P21" s="45" cm="1">
        <f t="array" ref="P21">_xlfn.IFS(
    J21&lt;&gt;"", J21,
    K21&lt;&gt;"", EDATE(K21, -3),
    G21&lt;&gt;"", EDATE(G21, + L21),
    H21&lt;&gt;"", EDATE(H21, + L21*0.75),
    I21&lt;&gt;"", EDATE(I21, H L21*0.5),
    TRUE, ""
)</f>
        <v>47475</v>
      </c>
      <c r="Q21" s="45" cm="1">
        <f t="array" ref="Q21">_xlfn.IFS(
    K21&lt;&gt;"",K21,
    J21&lt;&gt;"",EDATE(J21,3),
    P21&lt;&gt;"",EDATE(P21,3),
    TRUE,""
)</f>
        <v>47565</v>
      </c>
    </row>
    <row r="22" spans="1:17" x14ac:dyDescent="0.3">
      <c r="A22" t="str">
        <f>IF(AND(Projects!A31="", Projects!B31=""), "", IF(Projects!A31="", "Unassigned", Projects!A31))</f>
        <v>Southwest Energy Supply</v>
      </c>
      <c r="B22" t="str">
        <f>IF(Projects!B31&lt;&gt;"",Projects!B31,"")</f>
        <v>Horizon Flats Solar Expansion</v>
      </c>
      <c r="C22" t="str">
        <f>IF(AND(Projects!C31="", Projects!B31=""), "", IF(Projects!C31="", "None", Projects!C31))</f>
        <v>Fixed Assets</v>
      </c>
      <c r="D22" t="str">
        <f>IF(AND(Projects!D31="", Projects!B31=""), "", IF(Projects!D31="", "No OpCo", Projects!D31))</f>
        <v>NSP</v>
      </c>
      <c r="E22" t="str">
        <f>IF(Projects!E31&lt;&gt;"",Projects!E31,"")</f>
        <v>Solar</v>
      </c>
      <c r="F22">
        <f>IF(Projects!F31&lt;&gt;"",Projects!F31,"")</f>
        <v>189.33303000000001</v>
      </c>
      <c r="G22" s="45" t="str">
        <f>IF(Projects!G31&lt;&gt;"",Projects!G31,"")</f>
        <v/>
      </c>
      <c r="H22" s="45" t="str">
        <f>IF(Projects!H31&lt;&gt;"",Projects!H31,"")</f>
        <v/>
      </c>
      <c r="I22" s="45" t="str">
        <f>IF(Projects!I31&lt;&gt;"",Projects!I31,"")</f>
        <v/>
      </c>
      <c r="J22" s="45">
        <f>IF(Projects!J31&lt;&gt;"",Projects!J31,"")</f>
        <v>47483</v>
      </c>
      <c r="K22" s="45" t="str">
        <f>IF(Projects!K31&lt;&gt;"",Projects!K31,"")</f>
        <v/>
      </c>
      <c r="L22">
        <f>IF(AND(Projects!E31&lt;&gt;"", Projects!F31&lt;&gt;""),
INDEX('Duration Table'!$D$7:$H$17,MATCH(Projects!E31,'Duration Table'!$C$7:$C$17,0),MATCH(Projects!F31,'Duration Table'!$D$6:$H$6)),
   ""
)</f>
        <v>36</v>
      </c>
      <c r="M22" s="45" cm="1">
        <f t="array" ref="M22">_xlfn.IFS(
    G22&lt;&gt;"",G22,
    H22&lt;&gt;"",EDATE(H22,-0.25*L22),
    N22&lt;&gt;"",EDATE(N22,-0.25*L22),
    TRUE,""
)</f>
        <v>46386</v>
      </c>
      <c r="N22" s="45" cm="1">
        <f t="array" ref="N22">_xlfn.IFS(
    H22&lt;&gt;"", H22,
    COUNT(G22,I22)=2, (G22 + (DATEDIF(G22,I22,"d")*0.5)),
    COUNT(G22,J22)=2, (G22 + (DATEDIF(G22,J22,"d")*0.25)),
    COUNT(G22,K22)=2, (G22 + ((DATEDIF(G22,K22,"d")-90)*0.25)),
    COUNT(I22,J22)=2, (I22 -(DATEDIF(I22,J22,"d")*0.5)),
    COUNT(I22,K22)=2, (I22 -((DATEDIF(I22,K22,"d")-90)*0.5)),
    G22&lt;&gt;"", EDATE(G22, + L22*0.25),
    I22&lt;&gt;"", EDATE(I22, - L22*0.25),
    J22&lt;&gt;"", EDATE(J22, - L22*0.75),
    K22&lt;&gt;"", EDATE(K22, -((L22*0.75)+3)),
    TRUE, ""
)</f>
        <v>46660</v>
      </c>
      <c r="O22" s="45" cm="1">
        <f t="array" ref="O22">_xlfn.IFS(
    I22&lt;&gt;"", I22,
    COUNT(H22,J22)=2, (H22 + (DATEDIF(H22,J22,"d")*0.33)),
    COUNT(H22,K22)=2, (H22 + ((DATEDIF(H22,K22,"d")-90)*0.33)),
    COUNT(G22,J22)=2, (G22 +  DATEDIF(G22,J22,"d")*0.5),
    COUNT(G22,K22)=2, (G22 + (DATEDIF(G22,K22,"d")-90)*0.5),
    G22&lt;&gt;"", EDATE(G22, + L22*0.5),
    H22&lt;&gt;"", EDATE(H22, + L22*0.25),
    J22&lt;&gt;"", EDATE(J22, - L22*0.5),
    K22&lt;&gt;"", EDATE(K22, -((L22*0.5)+3)),
    TRUE, ""
)</f>
        <v>46934</v>
      </c>
      <c r="P22" s="45" cm="1">
        <f t="array" ref="P22">_xlfn.IFS(
    J22&lt;&gt;"", J22,
    K22&lt;&gt;"", EDATE(K22, -3),
    G22&lt;&gt;"", EDATE(G22, + L22),
    H22&lt;&gt;"", EDATE(H22, + L22*0.75),
    I22&lt;&gt;"", EDATE(I22, H L22*0.5),
    TRUE, ""
)</f>
        <v>47483</v>
      </c>
      <c r="Q22" s="45" cm="1">
        <f t="array" ref="Q22">_xlfn.IFS(
    K22&lt;&gt;"",K22,
    J22&lt;&gt;"",EDATE(J22,3),
    P22&lt;&gt;"",EDATE(P22,3),
    TRUE,""
)</f>
        <v>47573</v>
      </c>
    </row>
    <row r="23" spans="1:17" x14ac:dyDescent="0.3">
      <c r="A23" t="str">
        <f>IF(AND(Projects!A32="", Projects!B32=""), "", IF(Projects!A32="", "Unassigned", Projects!A32))</f>
        <v>Urban Gas Upgrades</v>
      </c>
      <c r="B23" t="str">
        <f>IF(Projects!B32&lt;&gt;"",Projects!B32,"")</f>
        <v>Sagebrush Lateral Extension</v>
      </c>
      <c r="C23" t="str">
        <f>IF(AND(Projects!C32="", Projects!B32=""), "", IF(Projects!C32="", "None", Projects!C32))</f>
        <v>Linear Assets</v>
      </c>
      <c r="D23" t="str">
        <f>IF(AND(Projects!D32="", Projects!B32=""), "", IF(Projects!D32="", "No OpCo", Projects!D32))</f>
        <v>PSCo</v>
      </c>
      <c r="E23" t="str">
        <f>IF(Projects!E32&lt;&gt;"",Projects!E32,"")</f>
        <v>Gas</v>
      </c>
      <c r="F23">
        <f>IF(Projects!F32&lt;&gt;"",Projects!F32,"")</f>
        <v>78.177794000000006</v>
      </c>
      <c r="G23" s="45">
        <f>IF(Projects!G32&lt;&gt;"",Projects!G32,"")</f>
        <v>46235</v>
      </c>
      <c r="H23" s="45">
        <f>IF(Projects!H32&lt;&gt;"",Projects!H32,"")</f>
        <v>46508</v>
      </c>
      <c r="I23" s="45">
        <f>IF(Projects!I32&lt;&gt;"",Projects!I32,"")</f>
        <v>46966</v>
      </c>
      <c r="J23" s="45">
        <f>IF(Projects!J32&lt;&gt;"",Projects!J32,"")</f>
        <v>47517</v>
      </c>
      <c r="K23" s="45" t="str">
        <f>IF(Projects!K32&lt;&gt;"",Projects!K32,"")</f>
        <v/>
      </c>
      <c r="L23">
        <f>IF(AND(Projects!E32&lt;&gt;"", Projects!F32&lt;&gt;""),
INDEX('Duration Table'!$D$7:$H$17,MATCH(Projects!E32,'Duration Table'!$C$7:$C$17,0),MATCH(Projects!F32,'Duration Table'!$D$6:$H$6)),
   ""
)</f>
        <v>30</v>
      </c>
      <c r="M23" s="45" cm="1">
        <f t="array" ref="M23">_xlfn.IFS(
    G23&lt;&gt;"",G23,
    H23&lt;&gt;"",EDATE(H23,-0.25*L23),
    N23&lt;&gt;"",EDATE(N23,-0.25*L23),
    TRUE,""
)</f>
        <v>46235</v>
      </c>
      <c r="N23" s="45" cm="1">
        <f t="array" ref="N23">_xlfn.IFS(
    H23&lt;&gt;"", H23,
    COUNT(G23,I23)=2, (G23 + (DATEDIF(G23,I23,"d")*0.5)),
    COUNT(G23,J23)=2, (G23 + (DATEDIF(G23,J23,"d")*0.25)),
    COUNT(G23,K23)=2, (G23 + ((DATEDIF(G23,K23,"d")-90)*0.25)),
    COUNT(I23,J23)=2, (I23 -(DATEDIF(I23,J23,"d")*0.5)),
    COUNT(I23,K23)=2, (I23 -((DATEDIF(I23,K23,"d")-90)*0.5)),
    G23&lt;&gt;"", EDATE(G23, + L23*0.25),
    I23&lt;&gt;"", EDATE(I23, - L23*0.25),
    J23&lt;&gt;"", EDATE(J23, - L23*0.75),
    K23&lt;&gt;"", EDATE(K23, -((L23*0.75)+3)),
    TRUE, ""
)</f>
        <v>46508</v>
      </c>
      <c r="O23" s="45" cm="1">
        <f t="array" ref="O23">_xlfn.IFS(
    I23&lt;&gt;"", I23,
    COUNT(H23,J23)=2, (H23 + (DATEDIF(H23,J23,"d")*0.33)),
    COUNT(H23,K23)=2, (H23 + ((DATEDIF(H23,K23,"d")-90)*0.33)),
    COUNT(G23,J23)=2, (G23 +  DATEDIF(G23,J23,"d")*0.5),
    COUNT(G23,K23)=2, (G23 + (DATEDIF(G23,K23,"d")-90)*0.5),
    G23&lt;&gt;"", EDATE(G23, + L23*0.5),
    H23&lt;&gt;"", EDATE(H23, + L23*0.25),
    J23&lt;&gt;"", EDATE(J23, - L23*0.5),
    K23&lt;&gt;"", EDATE(K23, -((L23*0.5)+3)),
    TRUE, ""
)</f>
        <v>46966</v>
      </c>
      <c r="P23" s="45" cm="1">
        <f t="array" ref="P23">_xlfn.IFS(
    J23&lt;&gt;"", J23,
    K23&lt;&gt;"", EDATE(K23, -3),
    G23&lt;&gt;"", EDATE(G23, + L23),
    H23&lt;&gt;"", EDATE(H23, + L23*0.75),
    I23&lt;&gt;"", EDATE(I23, H L23*0.5),
    TRUE, ""
)</f>
        <v>47517</v>
      </c>
      <c r="Q23" s="45" cm="1">
        <f t="array" ref="Q23">_xlfn.IFS(
    K23&lt;&gt;"",K23,
    J23&lt;&gt;"",EDATE(J23,3),
    P23&lt;&gt;"",EDATE(P23,3),
    TRUE,""
)</f>
        <v>47606</v>
      </c>
    </row>
    <row r="24" spans="1:17" x14ac:dyDescent="0.3">
      <c r="A24" t="str">
        <f>IF(AND(Projects!A33="", Projects!B33=""), "", IF(Projects!A33="", "Unassigned", Projects!A33))</f>
        <v>Urban Gas Upgrades</v>
      </c>
      <c r="B24" t="str">
        <f>IF(Projects!B33&lt;&gt;"",Projects!B33,"")</f>
        <v>Timberline Storage Expansion</v>
      </c>
      <c r="C24" t="str">
        <f>IF(AND(Projects!C33="", Projects!B33=""), "", IF(Projects!C33="", "None", Projects!C33))</f>
        <v>Linear Assets</v>
      </c>
      <c r="D24" t="str">
        <f>IF(AND(Projects!D33="", Projects!B33=""), "", IF(Projects!D33="", "No OpCo", Projects!D33))</f>
        <v>PSCo</v>
      </c>
      <c r="E24" t="str">
        <f>IF(Projects!E33&lt;&gt;"",Projects!E33,"")</f>
        <v>Gas</v>
      </c>
      <c r="F24">
        <f>IF(Projects!F33&lt;&gt;"",Projects!F33,"")</f>
        <v>38.498486</v>
      </c>
      <c r="G24" s="45">
        <f>IF(Projects!G33&lt;&gt;"",Projects!G33,"")</f>
        <v>46235</v>
      </c>
      <c r="H24" s="45" t="str">
        <f>IF(Projects!H33&lt;&gt;"",Projects!H33,"")</f>
        <v/>
      </c>
      <c r="I24" s="45" t="str">
        <f>IF(Projects!I33&lt;&gt;"",Projects!I33,"")</f>
        <v/>
      </c>
      <c r="J24" s="45">
        <f>IF(Projects!J33&lt;&gt;"",Projects!J33,"")</f>
        <v>47568</v>
      </c>
      <c r="K24" s="45" t="str">
        <f>IF(Projects!K33&lt;&gt;"",Projects!K33,"")</f>
        <v/>
      </c>
      <c r="L24">
        <f>IF(AND(Projects!E33&lt;&gt;"", Projects!F33&lt;&gt;""),
INDEX('Duration Table'!$D$7:$H$17,MATCH(Projects!E33,'Duration Table'!$C$7:$C$17,0),MATCH(Projects!F33,'Duration Table'!$D$6:$H$6)),
   ""
)</f>
        <v>24</v>
      </c>
      <c r="M24" s="45" cm="1">
        <f t="array" ref="M24">_xlfn.IFS(
    G24&lt;&gt;"",G24,
    H24&lt;&gt;"",EDATE(H24,-0.25*L24),
    N24&lt;&gt;"",EDATE(N24,-0.25*L24),
    TRUE,""
)</f>
        <v>46235</v>
      </c>
      <c r="N24" s="45" cm="1">
        <f t="array" ref="N24">_xlfn.IFS(
    H24&lt;&gt;"", H24,
    COUNT(G24,I24)=2, (G24 + (DATEDIF(G24,I24,"d")*0.5)),
    COUNT(G24,J24)=2, (G24 + (DATEDIF(G24,J24,"d")*0.25)),
    COUNT(G24,K24)=2, (G24 + ((DATEDIF(G24,K24,"d")-90)*0.25)),
    COUNT(I24,J24)=2, (I24 -(DATEDIF(I24,J24,"d")*0.5)),
    COUNT(I24,K24)=2, (I24 -((DATEDIF(I24,K24,"d")-90)*0.5)),
    G24&lt;&gt;"", EDATE(G24, + L24*0.25),
    I24&lt;&gt;"", EDATE(I24, - L24*0.25),
    J24&lt;&gt;"", EDATE(J24, - L24*0.75),
    K24&lt;&gt;"", EDATE(K24, -((L24*0.75)+3)),
    TRUE, ""
)</f>
        <v>46568.25</v>
      </c>
      <c r="O24" s="45" cm="1">
        <f t="array" ref="O24">_xlfn.IFS(
    I24&lt;&gt;"", I24,
    COUNT(H24,J24)=2, (H24 + (DATEDIF(H24,J24,"d")*0.33)),
    COUNT(H24,K24)=2, (H24 + ((DATEDIF(H24,K24,"d")-90)*0.33)),
    COUNT(G24,J24)=2, (G24 +  DATEDIF(G24,J24,"d")*0.5),
    COUNT(G24,K24)=2, (G24 + (DATEDIF(G24,K24,"d")-90)*0.5),
    G24&lt;&gt;"", EDATE(G24, + L24*0.5),
    H24&lt;&gt;"", EDATE(H24, + L24*0.25),
    J24&lt;&gt;"", EDATE(J24, - L24*0.5),
    K24&lt;&gt;"", EDATE(K24, -((L24*0.5)+3)),
    TRUE, ""
)</f>
        <v>46901.5</v>
      </c>
      <c r="P24" s="45" cm="1">
        <f t="array" ref="P24">_xlfn.IFS(
    J24&lt;&gt;"", J24,
    K24&lt;&gt;"", EDATE(K24, -3),
    G24&lt;&gt;"", EDATE(G24, + L24),
    H24&lt;&gt;"", EDATE(H24, + L24*0.75),
    I24&lt;&gt;"", EDATE(I24, H L24*0.5),
    TRUE, ""
)</f>
        <v>47568</v>
      </c>
      <c r="Q24" s="45" cm="1">
        <f t="array" ref="Q24">_xlfn.IFS(
    K24&lt;&gt;"",K24,
    J24&lt;&gt;"",EDATE(J24,3),
    P24&lt;&gt;"",EDATE(P24,3),
    TRUE,""
)</f>
        <v>47660</v>
      </c>
    </row>
    <row r="25" spans="1:17" x14ac:dyDescent="0.3">
      <c r="A25" t="str">
        <f>IF(AND(Projects!A34="", Projects!B34=""), "", IF(Projects!A34="", "Unassigned", Projects!A34))</f>
        <v>Highlands Buildout</v>
      </c>
      <c r="B25" t="str">
        <f>IF(Projects!B34&lt;&gt;"",Projects!B34,"")</f>
        <v>Pioneer Ridge Line Rebuild</v>
      </c>
      <c r="C25" t="str">
        <f>IF(AND(Projects!C34="", Projects!B34=""), "", IF(Projects!C34="", "None", Projects!C34))</f>
        <v>Linear Assets</v>
      </c>
      <c r="D25" t="str">
        <f>IF(AND(Projects!D34="", Projects!B34=""), "", IF(Projects!D34="", "No OpCo", Projects!D34))</f>
        <v>PSCo</v>
      </c>
      <c r="E25" t="str">
        <f>IF(Projects!E34&lt;&gt;"",Projects!E34,"")</f>
        <v>Transmission and Distribution</v>
      </c>
      <c r="F25">
        <f>IF(Projects!F34&lt;&gt;"",Projects!F34,"")</f>
        <v>65.513578999999993</v>
      </c>
      <c r="G25" s="45" t="str">
        <f>IF(Projects!G34&lt;&gt;"",Projects!G34,"")</f>
        <v/>
      </c>
      <c r="H25" s="45" t="str">
        <f>IF(Projects!H34&lt;&gt;"",Projects!H34,"")</f>
        <v/>
      </c>
      <c r="I25" s="45" t="str">
        <f>IF(Projects!I34&lt;&gt;"",Projects!I34,"")</f>
        <v/>
      </c>
      <c r="J25" s="45">
        <f>IF(Projects!J34&lt;&gt;"",Projects!J34,"")</f>
        <v>47605</v>
      </c>
      <c r="K25" s="45" t="str">
        <f>IF(Projects!K34&lt;&gt;"",Projects!K34,"")</f>
        <v/>
      </c>
      <c r="L25">
        <f>IF(AND(Projects!E34&lt;&gt;"", Projects!F34&lt;&gt;""),
INDEX('Duration Table'!$D$7:$H$17,MATCH(Projects!E34,'Duration Table'!$C$7:$C$17,0),MATCH(Projects!F34,'Duration Table'!$D$6:$H$6)),
   ""
)</f>
        <v>30</v>
      </c>
      <c r="M25" s="45" cm="1">
        <f t="array" ref="M25">_xlfn.IFS(
    G25&lt;&gt;"",G25,
    H25&lt;&gt;"",EDATE(H25,-0.25*L25),
    N25&lt;&gt;"",EDATE(N25,-0.25*L25),
    TRUE,""
)</f>
        <v>46723</v>
      </c>
      <c r="N25" s="45" cm="1">
        <f t="array" ref="N25">_xlfn.IFS(
    H25&lt;&gt;"", H25,
    COUNT(G25,I25)=2, (G25 + (DATEDIF(G25,I25,"d")*0.5)),
    COUNT(G25,J25)=2, (G25 + (DATEDIF(G25,J25,"d")*0.25)),
    COUNT(G25,K25)=2, (G25 + ((DATEDIF(G25,K25,"d")-90)*0.25)),
    COUNT(I25,J25)=2, (I25 -(DATEDIF(I25,J25,"d")*0.5)),
    COUNT(I25,K25)=2, (I25 -((DATEDIF(I25,K25,"d")-90)*0.5)),
    G25&lt;&gt;"", EDATE(G25, + L25*0.25),
    I25&lt;&gt;"", EDATE(I25, - L25*0.25),
    J25&lt;&gt;"", EDATE(J25, - L25*0.75),
    K25&lt;&gt;"", EDATE(K25, -((L25*0.75)+3)),
    TRUE, ""
)</f>
        <v>46936</v>
      </c>
      <c r="O25" s="45" cm="1">
        <f t="array" ref="O25">_xlfn.IFS(
    I25&lt;&gt;"", I25,
    COUNT(H25,J25)=2, (H25 + (DATEDIF(H25,J25,"d")*0.33)),
    COUNT(H25,K25)=2, (H25 + ((DATEDIF(H25,K25,"d")-90)*0.33)),
    COUNT(G25,J25)=2, (G25 +  DATEDIF(G25,J25,"d")*0.5),
    COUNT(G25,K25)=2, (G25 + (DATEDIF(G25,K25,"d")-90)*0.5),
    G25&lt;&gt;"", EDATE(G25, + L25*0.5),
    H25&lt;&gt;"", EDATE(H25, + L25*0.25),
    J25&lt;&gt;"", EDATE(J25, - L25*0.5),
    K25&lt;&gt;"", EDATE(K25, -((L25*0.5)+3)),
    TRUE, ""
)</f>
        <v>47151</v>
      </c>
      <c r="P25" s="45" cm="1">
        <f t="array" ref="P25">_xlfn.IFS(
    J25&lt;&gt;"", J25,
    K25&lt;&gt;"", EDATE(K25, -3),
    G25&lt;&gt;"", EDATE(G25, + L25),
    H25&lt;&gt;"", EDATE(H25, + L25*0.75),
    I25&lt;&gt;"", EDATE(I25, H L25*0.5),
    TRUE, ""
)</f>
        <v>47605</v>
      </c>
      <c r="Q25" s="45" cm="1">
        <f t="array" ref="Q25">_xlfn.IFS(
    K25&lt;&gt;"",K25,
    J25&lt;&gt;"",EDATE(J25,3),
    P25&lt;&gt;"",EDATE(P25,3),
    TRUE,""
)</f>
        <v>47697</v>
      </c>
    </row>
    <row r="26" spans="1:17" x14ac:dyDescent="0.3">
      <c r="A26" t="str">
        <f>IF(AND(Projects!A35="", Projects!B35=""), "", IF(Projects!A35="", "Unassigned", Projects!A35))</f>
        <v>Urban Gas Upgrades</v>
      </c>
      <c r="B26" t="str">
        <f>IF(Projects!B35&lt;&gt;"",Projects!B35,"")</f>
        <v>Frontier Peak Metering Project</v>
      </c>
      <c r="C26" t="str">
        <f>IF(AND(Projects!C35="", Projects!B35=""), "", IF(Projects!C35="", "None", Projects!C35))</f>
        <v>Linear Assets</v>
      </c>
      <c r="D26" t="str">
        <f>IF(AND(Projects!D35="", Projects!B35=""), "", IF(Projects!D35="", "No OpCo", Projects!D35))</f>
        <v>PSCo</v>
      </c>
      <c r="E26" t="str">
        <f>IF(Projects!E35&lt;&gt;"",Projects!E35,"")</f>
        <v>Gas</v>
      </c>
      <c r="F26">
        <f>IF(Projects!F35&lt;&gt;"",Projects!F35,"")</f>
        <v>148.16042999999999</v>
      </c>
      <c r="G26" s="45" t="str">
        <f>IF(Projects!G35&lt;&gt;"",Projects!G35,"")</f>
        <v/>
      </c>
      <c r="H26" s="45" t="str">
        <f>IF(Projects!H35&lt;&gt;"",Projects!H35,"")</f>
        <v/>
      </c>
      <c r="I26" s="45" t="str">
        <f>IF(Projects!I35&lt;&gt;"",Projects!I35,"")</f>
        <v/>
      </c>
      <c r="J26" s="45">
        <f>IF(Projects!J35&lt;&gt;"",Projects!J35,"")</f>
        <v>47625</v>
      </c>
      <c r="K26" s="45" t="str">
        <f>IF(Projects!K35&lt;&gt;"",Projects!K35,"")</f>
        <v/>
      </c>
      <c r="L26">
        <f>IF(AND(Projects!E35&lt;&gt;"", Projects!F35&lt;&gt;""),
INDEX('Duration Table'!$D$7:$H$17,MATCH(Projects!E35,'Duration Table'!$C$7:$C$17,0),MATCH(Projects!F35,'Duration Table'!$D$6:$H$6)),
   ""
)</f>
        <v>36</v>
      </c>
      <c r="M26" s="45" cm="1">
        <f t="array" ref="M26">_xlfn.IFS(
    G26&lt;&gt;"",G26,
    H26&lt;&gt;"",EDATE(H26,-0.25*L26),
    N26&lt;&gt;"",EDATE(N26,-0.25*L26),
    TRUE,""
)</f>
        <v>46529</v>
      </c>
      <c r="N26" s="45" cm="1">
        <f t="array" ref="N26">_xlfn.IFS(
    H26&lt;&gt;"", H26,
    COUNT(G26,I26)=2, (G26 + (DATEDIF(G26,I26,"d")*0.5)),
    COUNT(G26,J26)=2, (G26 + (DATEDIF(G26,J26,"d")*0.25)),
    COUNT(G26,K26)=2, (G26 + ((DATEDIF(G26,K26,"d")-90)*0.25)),
    COUNT(I26,J26)=2, (I26 -(DATEDIF(I26,J26,"d")*0.5)),
    COUNT(I26,K26)=2, (I26 -((DATEDIF(I26,K26,"d")-90)*0.5)),
    G26&lt;&gt;"", EDATE(G26, + L26*0.25),
    I26&lt;&gt;"", EDATE(I26, - L26*0.25),
    J26&lt;&gt;"", EDATE(J26, - L26*0.75),
    K26&lt;&gt;"", EDATE(K26, -((L26*0.75)+3)),
    TRUE, ""
)</f>
        <v>46805</v>
      </c>
      <c r="O26" s="45" cm="1">
        <f t="array" ref="O26">_xlfn.IFS(
    I26&lt;&gt;"", I26,
    COUNT(H26,J26)=2, (H26 + (DATEDIF(H26,J26,"d")*0.33)),
    COUNT(H26,K26)=2, (H26 + ((DATEDIF(H26,K26,"d")-90)*0.33)),
    COUNT(G26,J26)=2, (G26 +  DATEDIF(G26,J26,"d")*0.5),
    COUNT(G26,K26)=2, (G26 + (DATEDIF(G26,K26,"d")-90)*0.5),
    G26&lt;&gt;"", EDATE(G26, + L26*0.5),
    H26&lt;&gt;"", EDATE(H26, + L26*0.25),
    J26&lt;&gt;"", EDATE(J26, - L26*0.5),
    K26&lt;&gt;"", EDATE(K26, -((L26*0.5)+3)),
    TRUE, ""
)</f>
        <v>47079</v>
      </c>
      <c r="P26" s="45" cm="1">
        <f t="array" ref="P26">_xlfn.IFS(
    J26&lt;&gt;"", J26,
    K26&lt;&gt;"", EDATE(K26, -3),
    G26&lt;&gt;"", EDATE(G26, + L26),
    H26&lt;&gt;"", EDATE(H26, + L26*0.75),
    I26&lt;&gt;"", EDATE(I26, H L26*0.5),
    TRUE, ""
)</f>
        <v>47625</v>
      </c>
      <c r="Q26" s="45" cm="1">
        <f t="array" ref="Q26">_xlfn.IFS(
    K26&lt;&gt;"",K26,
    J26&lt;&gt;"",EDATE(J26,3),
    P26&lt;&gt;"",EDATE(P26,3),
    TRUE,""
)</f>
        <v>47717</v>
      </c>
    </row>
    <row r="27" spans="1:17" x14ac:dyDescent="0.3">
      <c r="A27" t="str">
        <f>IF(AND(Projects!A36="", Projects!B36=""), "", IF(Projects!A36="", "Unassigned", Projects!A36))</f>
        <v>Highlands Buildout</v>
      </c>
      <c r="B27" t="str">
        <f>IF(Projects!B36&lt;&gt;"",Projects!B36,"")</f>
        <v>Golden Mesa Solar Park</v>
      </c>
      <c r="C27" t="str">
        <f>IF(AND(Projects!C36="", Projects!B36=""), "", IF(Projects!C36="", "None", Projects!C36))</f>
        <v>Fixed Assets</v>
      </c>
      <c r="D27" t="str">
        <f>IF(AND(Projects!D36="", Projects!B36=""), "", IF(Projects!D36="", "No OpCo", Projects!D36))</f>
        <v>PSCo</v>
      </c>
      <c r="E27" t="str">
        <f>IF(Projects!E36&lt;&gt;"",Projects!E36,"")</f>
        <v>Solar</v>
      </c>
      <c r="F27">
        <f>IF(Projects!F36&lt;&gt;"",Projects!F36,"")</f>
        <v>113.39808499999999</v>
      </c>
      <c r="G27" s="45" t="str">
        <f>IF(Projects!G36&lt;&gt;"",Projects!G36,"")</f>
        <v/>
      </c>
      <c r="H27" s="45" t="str">
        <f>IF(Projects!H36&lt;&gt;"",Projects!H36,"")</f>
        <v/>
      </c>
      <c r="I27" s="45" t="str">
        <f>IF(Projects!I36&lt;&gt;"",Projects!I36,"")</f>
        <v/>
      </c>
      <c r="J27" s="45">
        <f>IF(Projects!J36&lt;&gt;"",Projects!J36,"")</f>
        <v>47665</v>
      </c>
      <c r="K27" s="45" t="str">
        <f>IF(Projects!K36&lt;&gt;"",Projects!K36,"")</f>
        <v/>
      </c>
      <c r="L27">
        <f>IF(AND(Projects!E36&lt;&gt;"", Projects!F36&lt;&gt;""),
INDEX('Duration Table'!$D$7:$H$17,MATCH(Projects!E36,'Duration Table'!$C$7:$C$17,0),MATCH(Projects!F36,'Duration Table'!$D$6:$H$6)),
   ""
)</f>
        <v>36</v>
      </c>
      <c r="M27" s="45" cm="1">
        <f t="array" ref="M27">_xlfn.IFS(
    G27&lt;&gt;"",G27,
    H27&lt;&gt;"",EDATE(H27,-0.25*L27),
    N27&lt;&gt;"",EDATE(N27,-0.25*L27),
    TRUE,""
)</f>
        <v>46569</v>
      </c>
      <c r="N27" s="45" cm="1">
        <f t="array" ref="N27">_xlfn.IFS(
    H27&lt;&gt;"", H27,
    COUNT(G27,I27)=2, (G27 + (DATEDIF(G27,I27,"d")*0.5)),
    COUNT(G27,J27)=2, (G27 + (DATEDIF(G27,J27,"d")*0.25)),
    COUNT(G27,K27)=2, (G27 + ((DATEDIF(G27,K27,"d")-90)*0.25)),
    COUNT(I27,J27)=2, (I27 -(DATEDIF(I27,J27,"d")*0.5)),
    COUNT(I27,K27)=2, (I27 -((DATEDIF(I27,K27,"d")-90)*0.5)),
    G27&lt;&gt;"", EDATE(G27, + L27*0.25),
    I27&lt;&gt;"", EDATE(I27, - L27*0.25),
    J27&lt;&gt;"", EDATE(J27, - L27*0.75),
    K27&lt;&gt;"", EDATE(K27, -((L27*0.75)+3)),
    TRUE, ""
)</f>
        <v>46844</v>
      </c>
      <c r="O27" s="45" cm="1">
        <f t="array" ref="O27">_xlfn.IFS(
    I27&lt;&gt;"", I27,
    COUNT(H27,J27)=2, (H27 + (DATEDIF(H27,J27,"d")*0.33)),
    COUNT(H27,K27)=2, (H27 + ((DATEDIF(H27,K27,"d")-90)*0.33)),
    COUNT(G27,J27)=2, (G27 +  DATEDIF(G27,J27,"d")*0.5),
    COUNT(G27,K27)=2, (G27 + (DATEDIF(G27,K27,"d")-90)*0.5),
    G27&lt;&gt;"", EDATE(G27, + L27*0.5),
    H27&lt;&gt;"", EDATE(H27, + L27*0.25),
    J27&lt;&gt;"", EDATE(J27, - L27*0.5),
    K27&lt;&gt;"", EDATE(K27, -((L27*0.5)+3)),
    TRUE, ""
)</f>
        <v>47119</v>
      </c>
      <c r="P27" s="45" cm="1">
        <f t="array" ref="P27">_xlfn.IFS(
    J27&lt;&gt;"", J27,
    K27&lt;&gt;"", EDATE(K27, -3),
    G27&lt;&gt;"", EDATE(G27, + L27),
    H27&lt;&gt;"", EDATE(H27, + L27*0.75),
    I27&lt;&gt;"", EDATE(I27, H L27*0.5),
    TRUE, ""
)</f>
        <v>47665</v>
      </c>
      <c r="Q27" s="45" cm="1">
        <f t="array" ref="Q27">_xlfn.IFS(
    K27&lt;&gt;"",K27,
    J27&lt;&gt;"",EDATE(J27,3),
    P27&lt;&gt;"",EDATE(P27,3),
    TRUE,""
)</f>
        <v>47757</v>
      </c>
    </row>
    <row r="28" spans="1:17" x14ac:dyDescent="0.3">
      <c r="A28" t="str">
        <f>IF(AND(Projects!A37="", Projects!B37=""), "", IF(Projects!A37="", "Unassigned", Projects!A37))</f>
        <v>Southwest Energy Supply</v>
      </c>
      <c r="B28" t="str">
        <f>IF(Projects!B37&lt;&gt;"",Projects!B37,"")</f>
        <v>Northgate Substation Rebuild</v>
      </c>
      <c r="C28" t="str">
        <f>IF(AND(Projects!C37="", Projects!B37=""), "", IF(Projects!C37="", "None", Projects!C37))</f>
        <v>Linear Assets</v>
      </c>
      <c r="D28" t="str">
        <f>IF(AND(Projects!D37="", Projects!B37=""), "", IF(Projects!D37="", "No OpCo", Projects!D37))</f>
        <v>PSCo</v>
      </c>
      <c r="E28" t="str">
        <f>IF(Projects!E37&lt;&gt;"",Projects!E37,"")</f>
        <v>Substation</v>
      </c>
      <c r="F28">
        <f>IF(Projects!F37&lt;&gt;"",Projects!F37,"")</f>
        <v>115</v>
      </c>
      <c r="G28" s="45" t="str">
        <f>IF(Projects!G37&lt;&gt;"",Projects!G37,"")</f>
        <v/>
      </c>
      <c r="H28" s="45" t="str">
        <f>IF(Projects!H37&lt;&gt;"",Projects!H37,"")</f>
        <v/>
      </c>
      <c r="I28" s="45" t="str">
        <f>IF(Projects!I37&lt;&gt;"",Projects!I37,"")</f>
        <v/>
      </c>
      <c r="J28" s="45">
        <f>IF(Projects!J37&lt;&gt;"",Projects!J37,"")</f>
        <v>47696</v>
      </c>
      <c r="K28" s="45" t="str">
        <f>IF(Projects!K37&lt;&gt;"",Projects!K37,"")</f>
        <v/>
      </c>
      <c r="L28">
        <f>IF(AND(Projects!E37&lt;&gt;"", Projects!F37&lt;&gt;""),
INDEX('Duration Table'!$D$7:$H$17,MATCH(Projects!E37,'Duration Table'!$C$7:$C$17,0),MATCH(Projects!F37,'Duration Table'!$D$6:$H$6)),
   ""
)</f>
        <v>30</v>
      </c>
      <c r="M28" s="45" cm="1">
        <f t="array" ref="M28">_xlfn.IFS(
    G28&lt;&gt;"",G28,
    H28&lt;&gt;"",EDATE(H28,-0.25*L28),
    N28&lt;&gt;"",EDATE(N28,-0.25*L28),
    TRUE,""
)</f>
        <v>46813</v>
      </c>
      <c r="N28" s="45" cm="1">
        <f t="array" ref="N28">_xlfn.IFS(
    H28&lt;&gt;"", H28,
    COUNT(G28,I28)=2, (G28 + (DATEDIF(G28,I28,"d")*0.5)),
    COUNT(G28,J28)=2, (G28 + (DATEDIF(G28,J28,"d")*0.25)),
    COUNT(G28,K28)=2, (G28 + ((DATEDIF(G28,K28,"d")-90)*0.25)),
    COUNT(I28,J28)=2, (I28 -(DATEDIF(I28,J28,"d")*0.5)),
    COUNT(I28,K28)=2, (I28 -((DATEDIF(I28,K28,"d")-90)*0.5)),
    G28&lt;&gt;"", EDATE(G28, + L28*0.25),
    I28&lt;&gt;"", EDATE(I28, - L28*0.25),
    J28&lt;&gt;"", EDATE(J28, - L28*0.75),
    K28&lt;&gt;"", EDATE(K28, -((L28*0.75)+3)),
    TRUE, ""
)</f>
        <v>47027</v>
      </c>
      <c r="O28" s="45" cm="1">
        <f t="array" ref="O28">_xlfn.IFS(
    I28&lt;&gt;"", I28,
    COUNT(H28,J28)=2, (H28 + (DATEDIF(H28,J28,"d")*0.33)),
    COUNT(H28,K28)=2, (H28 + ((DATEDIF(H28,K28,"d")-90)*0.33)),
    COUNT(G28,J28)=2, (G28 +  DATEDIF(G28,J28,"d")*0.5),
    COUNT(G28,K28)=2, (G28 + (DATEDIF(G28,K28,"d")-90)*0.5),
    G28&lt;&gt;"", EDATE(G28, + L28*0.5),
    H28&lt;&gt;"", EDATE(H28, + L28*0.25),
    J28&lt;&gt;"", EDATE(J28, - L28*0.5),
    K28&lt;&gt;"", EDATE(K28, -((L28*0.5)+3)),
    TRUE, ""
)</f>
        <v>47239</v>
      </c>
      <c r="P28" s="45" cm="1">
        <f t="array" ref="P28">_xlfn.IFS(
    J28&lt;&gt;"", J28,
    K28&lt;&gt;"", EDATE(K28, -3),
    G28&lt;&gt;"", EDATE(G28, + L28),
    H28&lt;&gt;"", EDATE(H28, + L28*0.75),
    I28&lt;&gt;"", EDATE(I28, H L28*0.5),
    TRUE, ""
)</f>
        <v>47696</v>
      </c>
      <c r="Q28" s="45" cm="1">
        <f t="array" ref="Q28">_xlfn.IFS(
    K28&lt;&gt;"",K28,
    J28&lt;&gt;"",EDATE(J28,3),
    P28&lt;&gt;"",EDATE(P28,3),
    TRUE,""
)</f>
        <v>47788</v>
      </c>
    </row>
    <row r="29" spans="1:17" x14ac:dyDescent="0.3">
      <c r="A29" t="str">
        <f>IF(AND(Projects!A38="", Projects!B38=""), "", IF(Projects!A38="", "Unassigned", Projects!A38))</f>
        <v>Urban Gas Upgrades</v>
      </c>
      <c r="B29" t="str">
        <f>IF(Projects!B38&lt;&gt;"",Projects!B38,"")</f>
        <v>Redwood Compression Upgrade</v>
      </c>
      <c r="C29" t="str">
        <f>IF(AND(Projects!C38="", Projects!B38=""), "", IF(Projects!C38="", "None", Projects!C38))</f>
        <v>Linear Assets</v>
      </c>
      <c r="D29" t="str">
        <f>IF(AND(Projects!D38="", Projects!B38=""), "", IF(Projects!D38="", "No OpCo", Projects!D38))</f>
        <v>PSCo</v>
      </c>
      <c r="E29" t="str">
        <f>IF(Projects!E38&lt;&gt;"",Projects!E38,"")</f>
        <v>Gas</v>
      </c>
      <c r="F29">
        <f>IF(Projects!F38&lt;&gt;"",Projects!F38,"")</f>
        <v>166.28368599999999</v>
      </c>
      <c r="G29" s="45" t="str">
        <f>IF(Projects!G38&lt;&gt;"",Projects!G38,"")</f>
        <v/>
      </c>
      <c r="H29" s="45" t="str">
        <f>IF(Projects!H38&lt;&gt;"",Projects!H38,"")</f>
        <v/>
      </c>
      <c r="I29" s="45" t="str">
        <f>IF(Projects!I38&lt;&gt;"",Projects!I38,"")</f>
        <v/>
      </c>
      <c r="J29" s="45">
        <f>IF(Projects!J38&lt;&gt;"",Projects!J38,"")</f>
        <v>47983</v>
      </c>
      <c r="K29" s="45" t="str">
        <f>IF(Projects!K38&lt;&gt;"",Projects!K38,"")</f>
        <v/>
      </c>
      <c r="L29">
        <f>IF(AND(Projects!E38&lt;&gt;"", Projects!F38&lt;&gt;""),
INDEX('Duration Table'!$D$7:$H$17,MATCH(Projects!E38,'Duration Table'!$C$7:$C$17,0),MATCH(Projects!F38,'Duration Table'!$D$6:$H$6)),
   ""
)</f>
        <v>36</v>
      </c>
      <c r="M29" s="45" cm="1">
        <f t="array" ref="M29">_xlfn.IFS(
    G29&lt;&gt;"",G29,
    H29&lt;&gt;"",EDATE(H29,-0.25*L29),
    N29&lt;&gt;"",EDATE(N29,-0.25*L29),
    TRUE,""
)</f>
        <v>46888</v>
      </c>
      <c r="N29" s="45" cm="1">
        <f t="array" ref="N29">_xlfn.IFS(
    H29&lt;&gt;"", H29,
    COUNT(G29,I29)=2, (G29 + (DATEDIF(G29,I29,"d")*0.5)),
    COUNT(G29,J29)=2, (G29 + (DATEDIF(G29,J29,"d")*0.25)),
    COUNT(G29,K29)=2, (G29 + ((DATEDIF(G29,K29,"d")-90)*0.25)),
    COUNT(I29,J29)=2, (I29 -(DATEDIF(I29,J29,"d")*0.5)),
    COUNT(I29,K29)=2, (I29 -((DATEDIF(I29,K29,"d")-90)*0.5)),
    G29&lt;&gt;"", EDATE(G29, + L29*0.25),
    I29&lt;&gt;"", EDATE(I29, - L29*0.25),
    J29&lt;&gt;"", EDATE(J29, - L29*0.75),
    K29&lt;&gt;"", EDATE(K29, -((L29*0.75)+3)),
    TRUE, ""
)</f>
        <v>47164</v>
      </c>
      <c r="O29" s="45" cm="1">
        <f t="array" ref="O29">_xlfn.IFS(
    I29&lt;&gt;"", I29,
    COUNT(H29,J29)=2, (H29 + (DATEDIF(H29,J29,"d")*0.33)),
    COUNT(H29,K29)=2, (H29 + ((DATEDIF(H29,K29,"d")-90)*0.33)),
    COUNT(G29,J29)=2, (G29 +  DATEDIF(G29,J29,"d")*0.5),
    COUNT(G29,K29)=2, (G29 + (DATEDIF(G29,K29,"d")-90)*0.5),
    G29&lt;&gt;"", EDATE(G29, + L29*0.5),
    H29&lt;&gt;"", EDATE(H29, + L29*0.25),
    J29&lt;&gt;"", EDATE(J29, - L29*0.5),
    K29&lt;&gt;"", EDATE(K29, -((L29*0.5)+3)),
    TRUE, ""
)</f>
        <v>47437</v>
      </c>
      <c r="P29" s="45" cm="1">
        <f t="array" ref="P29">_xlfn.IFS(
    J29&lt;&gt;"", J29,
    K29&lt;&gt;"", EDATE(K29, -3),
    G29&lt;&gt;"", EDATE(G29, + L29),
    H29&lt;&gt;"", EDATE(H29, + L29*0.75),
    I29&lt;&gt;"", EDATE(I29, H L29*0.5),
    TRUE, ""
)</f>
        <v>47983</v>
      </c>
      <c r="Q29" s="45" cm="1">
        <f t="array" ref="Q29">_xlfn.IFS(
    K29&lt;&gt;"",K29,
    J29&lt;&gt;"",EDATE(J29,3),
    P29&lt;&gt;"",EDATE(P29,3),
    TRUE,""
)</f>
        <v>48075</v>
      </c>
    </row>
    <row r="30" spans="1:17" x14ac:dyDescent="0.3">
      <c r="A30" t="str">
        <f>IF(AND(Projects!A39="", Projects!B39=""), "", IF(Projects!A39="", "Unassigned", Projects!A39))</f>
        <v>Highlands Buildout</v>
      </c>
      <c r="B30" t="str">
        <f>IF(Projects!B39&lt;&gt;"",Projects!B39,"")</f>
        <v>Skytrail Ridge Wind Project</v>
      </c>
      <c r="C30" t="str">
        <f>IF(AND(Projects!C39="", Projects!B39=""), "", IF(Projects!C39="", "None", Projects!C39))</f>
        <v>Fixed Assets</v>
      </c>
      <c r="D30" t="str">
        <f>IF(AND(Projects!D39="", Projects!B39=""), "", IF(Projects!D39="", "No OpCo", Projects!D39))</f>
        <v>PSCo</v>
      </c>
      <c r="E30" t="str">
        <f>IF(Projects!E39&lt;&gt;"",Projects!E39,"")</f>
        <v>Wind</v>
      </c>
      <c r="F30">
        <f>IF(Projects!F39&lt;&gt;"",Projects!F39,"")</f>
        <v>452</v>
      </c>
      <c r="G30" s="45" t="str">
        <f>IF(Projects!G39&lt;&gt;"",Projects!G39,"")</f>
        <v/>
      </c>
      <c r="H30" s="45" t="str">
        <f>IF(Projects!H39&lt;&gt;"",Projects!H39,"")</f>
        <v/>
      </c>
      <c r="I30" s="45" t="str">
        <f>IF(Projects!I39&lt;&gt;"",Projects!I39,"")</f>
        <v/>
      </c>
      <c r="J30" s="45">
        <f>IF(Projects!J39&lt;&gt;"",Projects!J39,"")</f>
        <v>48044</v>
      </c>
      <c r="K30" s="45" t="str">
        <f>IF(Projects!K39&lt;&gt;"",Projects!K39,"")</f>
        <v/>
      </c>
      <c r="L30">
        <f>IF(AND(Projects!E39&lt;&gt;"", Projects!F39&lt;&gt;""),
INDEX('Duration Table'!$D$7:$H$17,MATCH(Projects!E39,'Duration Table'!$C$7:$C$17,0),MATCH(Projects!F39,'Duration Table'!$D$6:$H$6)),
   ""
)</f>
        <v>36</v>
      </c>
      <c r="M30" s="45" cm="1">
        <f t="array" ref="M30">_xlfn.IFS(
    G30&lt;&gt;"",G30,
    H30&lt;&gt;"",EDATE(H30,-0.25*L30),
    N30&lt;&gt;"",EDATE(N30,-0.25*L30),
    TRUE,""
)</f>
        <v>46949</v>
      </c>
      <c r="N30" s="45" cm="1">
        <f t="array" ref="N30">_xlfn.IFS(
    H30&lt;&gt;"", H30,
    COUNT(G30,I30)=2, (G30 + (DATEDIF(G30,I30,"d")*0.5)),
    COUNT(G30,J30)=2, (G30 + (DATEDIF(G30,J30,"d")*0.25)),
    COUNT(G30,K30)=2, (G30 + ((DATEDIF(G30,K30,"d")-90)*0.25)),
    COUNT(I30,J30)=2, (I30 -(DATEDIF(I30,J30,"d")*0.5)),
    COUNT(I30,K30)=2, (I30 -((DATEDIF(I30,K30,"d")-90)*0.5)),
    G30&lt;&gt;"", EDATE(G30, + L30*0.25),
    I30&lt;&gt;"", EDATE(I30, - L30*0.25),
    J30&lt;&gt;"", EDATE(J30, - L30*0.75),
    K30&lt;&gt;"", EDATE(K30, -((L30*0.75)+3)),
    TRUE, ""
)</f>
        <v>47223</v>
      </c>
      <c r="O30" s="45" cm="1">
        <f t="array" ref="O30">_xlfn.IFS(
    I30&lt;&gt;"", I30,
    COUNT(H30,J30)=2, (H30 + (DATEDIF(H30,J30,"d")*0.33)),
    COUNT(H30,K30)=2, (H30 + ((DATEDIF(H30,K30,"d")-90)*0.33)),
    COUNT(G30,J30)=2, (G30 +  DATEDIF(G30,J30,"d")*0.5),
    COUNT(G30,K30)=2, (G30 + (DATEDIF(G30,K30,"d")-90)*0.5),
    G30&lt;&gt;"", EDATE(G30, + L30*0.5),
    H30&lt;&gt;"", EDATE(H30, + L30*0.25),
    J30&lt;&gt;"", EDATE(J30, - L30*0.5),
    K30&lt;&gt;"", EDATE(K30, -((L30*0.5)+3)),
    TRUE, ""
)</f>
        <v>47498</v>
      </c>
      <c r="P30" s="45" cm="1">
        <f t="array" ref="P30">_xlfn.IFS(
    J30&lt;&gt;"", J30,
    K30&lt;&gt;"", EDATE(K30, -3),
    G30&lt;&gt;"", EDATE(G30, + L30),
    H30&lt;&gt;"", EDATE(H30, + L30*0.75),
    I30&lt;&gt;"", EDATE(I30, H L30*0.5),
    TRUE, ""
)</f>
        <v>48044</v>
      </c>
      <c r="Q30" s="45" cm="1">
        <f t="array" ref="Q30">_xlfn.IFS(
    K30&lt;&gt;"",K30,
    J30&lt;&gt;"",EDATE(J30,3),
    P30&lt;&gt;"",EDATE(P30,3),
    TRUE,""
)</f>
        <v>48136</v>
      </c>
    </row>
    <row r="31" spans="1:17" x14ac:dyDescent="0.3">
      <c r="A31" t="str">
        <f>IF(AND(Projects!A40="", Projects!B40=""), "", IF(Projects!A40="", "Unassigned", Projects!A40))</f>
        <v>Urban Gas Upgrades</v>
      </c>
      <c r="B31" t="str">
        <f>IF(Projects!B40&lt;&gt;"",Projects!B40,"")</f>
        <v>Copper Trail Pipeline Integrity</v>
      </c>
      <c r="C31" t="str">
        <f>IF(AND(Projects!C40="", Projects!B40=""), "", IF(Projects!C40="", "None", Projects!C40))</f>
        <v>Linear Assets</v>
      </c>
      <c r="D31" t="str">
        <f>IF(AND(Projects!D40="", Projects!B40=""), "", IF(Projects!D40="", "No OpCo", Projects!D40))</f>
        <v>PSCo</v>
      </c>
      <c r="E31" t="str">
        <f>IF(Projects!E40&lt;&gt;"",Projects!E40,"")</f>
        <v>Gas</v>
      </c>
      <c r="F31">
        <f>IF(Projects!F40&lt;&gt;"",Projects!F40,"")</f>
        <v>53.468864000000004</v>
      </c>
      <c r="G31" s="45" t="str">
        <f>IF(Projects!G40&lt;&gt;"",Projects!G40,"")</f>
        <v/>
      </c>
      <c r="H31" s="45" t="str">
        <f>IF(Projects!H40&lt;&gt;"",Projects!H40,"")</f>
        <v/>
      </c>
      <c r="I31" s="45" t="str">
        <f>IF(Projects!I40&lt;&gt;"",Projects!I40,"")</f>
        <v/>
      </c>
      <c r="J31" s="45">
        <f>IF(Projects!J40&lt;&gt;"",Projects!J40,"")</f>
        <v>48081</v>
      </c>
      <c r="K31" s="45" t="str">
        <f>IF(Projects!K40&lt;&gt;"",Projects!K40,"")</f>
        <v/>
      </c>
      <c r="L31">
        <f>IF(AND(Projects!E40&lt;&gt;"", Projects!F40&lt;&gt;""),
INDEX('Duration Table'!$D$7:$H$17,MATCH(Projects!E40,'Duration Table'!$C$7:$C$17,0),MATCH(Projects!F40,'Duration Table'!$D$6:$H$6)),
   ""
)</f>
        <v>30</v>
      </c>
      <c r="M31" s="45" cm="1">
        <f t="array" ref="M31">_xlfn.IFS(
    G31&lt;&gt;"",G31,
    H31&lt;&gt;"",EDATE(H31,-0.25*L31),
    N31&lt;&gt;"",EDATE(N31,-0.25*L31),
    TRUE,""
)</f>
        <v>47198</v>
      </c>
      <c r="N31" s="45" cm="1">
        <f t="array" ref="N31">_xlfn.IFS(
    H31&lt;&gt;"", H31,
    COUNT(G31,I31)=2, (G31 + (DATEDIF(G31,I31,"d")*0.5)),
    COUNT(G31,J31)=2, (G31 + (DATEDIF(G31,J31,"d")*0.25)),
    COUNT(G31,K31)=2, (G31 + ((DATEDIF(G31,K31,"d")-90)*0.25)),
    COUNT(I31,J31)=2, (I31 -(DATEDIF(I31,J31,"d")*0.5)),
    COUNT(I31,K31)=2, (I31 -((DATEDIF(I31,K31,"d")-90)*0.5)),
    G31&lt;&gt;"", EDATE(G31, + L31*0.25),
    I31&lt;&gt;"", EDATE(I31, - L31*0.25),
    J31&lt;&gt;"", EDATE(J31, - L31*0.75),
    K31&lt;&gt;"", EDATE(K31, -((L31*0.75)+3)),
    TRUE, ""
)</f>
        <v>47412</v>
      </c>
      <c r="O31" s="45" cm="1">
        <f t="array" ref="O31">_xlfn.IFS(
    I31&lt;&gt;"", I31,
    COUNT(H31,J31)=2, (H31 + (DATEDIF(H31,J31,"d")*0.33)),
    COUNT(H31,K31)=2, (H31 + ((DATEDIF(H31,K31,"d")-90)*0.33)),
    COUNT(G31,J31)=2, (G31 +  DATEDIF(G31,J31,"d")*0.5),
    COUNT(G31,K31)=2, (G31 + (DATEDIF(G31,K31,"d")-90)*0.5),
    G31&lt;&gt;"", EDATE(G31, + L31*0.5),
    H31&lt;&gt;"", EDATE(H31, + L31*0.25),
    J31&lt;&gt;"", EDATE(J31, - L31*0.5),
    K31&lt;&gt;"", EDATE(K31, -((L31*0.5)+3)),
    TRUE, ""
)</f>
        <v>47624</v>
      </c>
      <c r="P31" s="45" cm="1">
        <f t="array" ref="P31">_xlfn.IFS(
    J31&lt;&gt;"", J31,
    K31&lt;&gt;"", EDATE(K31, -3),
    G31&lt;&gt;"", EDATE(G31, + L31),
    H31&lt;&gt;"", EDATE(H31, + L31*0.75),
    I31&lt;&gt;"", EDATE(I31, H L31*0.5),
    TRUE, ""
)</f>
        <v>48081</v>
      </c>
      <c r="Q31" s="45" cm="1">
        <f t="array" ref="Q31">_xlfn.IFS(
    K31&lt;&gt;"",K31,
    J31&lt;&gt;"",EDATE(J31,3),
    P31&lt;&gt;"",EDATE(P31,3),
    TRUE,""
)</f>
        <v>48173</v>
      </c>
    </row>
    <row r="32" spans="1:17" x14ac:dyDescent="0.3">
      <c r="A32" t="str">
        <f>IF(AND(Projects!A41="", Projects!B41=""), "", IF(Projects!A41="", "Unassigned", Projects!A41))</f>
        <v>Southwest Energy Supply</v>
      </c>
      <c r="B32" t="str">
        <f>IF(Projects!B41&lt;&gt;"",Projects!B41,"")</f>
        <v>Summit Lake Hydro Expansion</v>
      </c>
      <c r="C32" t="str">
        <f>IF(AND(Projects!C41="", Projects!B41=""), "", IF(Projects!C41="", "None", Projects!C41))</f>
        <v>Fixed Assets</v>
      </c>
      <c r="D32" t="str">
        <f>IF(AND(Projects!D41="", Projects!B41=""), "", IF(Projects!D41="", "No OpCo", Projects!D41))</f>
        <v>PSCo</v>
      </c>
      <c r="E32" t="str">
        <f>IF(Projects!E41&lt;&gt;"",Projects!E41,"")</f>
        <v>Hydro</v>
      </c>
      <c r="F32">
        <f>IF(Projects!F41&lt;&gt;"",Projects!F41,"")</f>
        <v>151.93186559999998</v>
      </c>
      <c r="G32" s="45" t="str">
        <f>IF(Projects!G41&lt;&gt;"",Projects!G41,"")</f>
        <v/>
      </c>
      <c r="H32" s="45" t="str">
        <f>IF(Projects!H41&lt;&gt;"",Projects!H41,"")</f>
        <v/>
      </c>
      <c r="I32" s="45" t="str">
        <f>IF(Projects!I41&lt;&gt;"",Projects!I41,"")</f>
        <v/>
      </c>
      <c r="J32" s="45">
        <f>IF(Projects!J41&lt;&gt;"",Projects!J41,"")</f>
        <v>48090</v>
      </c>
      <c r="K32" s="45" t="str">
        <f>IF(Projects!K41&lt;&gt;"",Projects!K41,"")</f>
        <v/>
      </c>
      <c r="L32">
        <f>IF(AND(Projects!E41&lt;&gt;"", Projects!F41&lt;&gt;""),
INDEX('Duration Table'!$D$7:$H$17,MATCH(Projects!E41,'Duration Table'!$C$7:$C$17,0),MATCH(Projects!F41,'Duration Table'!$D$6:$H$6)),
   ""
)</f>
        <v>30</v>
      </c>
      <c r="M32" s="45" cm="1">
        <f t="array" ref="M32">_xlfn.IFS(
    G32&lt;&gt;"",G32,
    H32&lt;&gt;"",EDATE(H32,-0.25*L32),
    N32&lt;&gt;"",EDATE(N32,-0.25*L32),
    TRUE,""
)</f>
        <v>47207</v>
      </c>
      <c r="N32" s="45" cm="1">
        <f t="array" ref="N32">_xlfn.IFS(
    H32&lt;&gt;"", H32,
    COUNT(G32,I32)=2, (G32 + (DATEDIF(G32,I32,"d")*0.5)),
    COUNT(G32,J32)=2, (G32 + (DATEDIF(G32,J32,"d")*0.25)),
    COUNT(G32,K32)=2, (G32 + ((DATEDIF(G32,K32,"d")-90)*0.25)),
    COUNT(I32,J32)=2, (I32 -(DATEDIF(I32,J32,"d")*0.5)),
    COUNT(I32,K32)=2, (I32 -((DATEDIF(I32,K32,"d")-90)*0.5)),
    G32&lt;&gt;"", EDATE(G32, + L32*0.25),
    I32&lt;&gt;"", EDATE(I32, - L32*0.25),
    J32&lt;&gt;"", EDATE(J32, - L32*0.75),
    K32&lt;&gt;"", EDATE(K32, -((L32*0.75)+3)),
    TRUE, ""
)</f>
        <v>47421</v>
      </c>
      <c r="O32" s="45" cm="1">
        <f t="array" ref="O32">_xlfn.IFS(
    I32&lt;&gt;"", I32,
    COUNT(H32,J32)=2, (H32 + (DATEDIF(H32,J32,"d")*0.33)),
    COUNT(H32,K32)=2, (H32 + ((DATEDIF(H32,K32,"d")-90)*0.33)),
    COUNT(G32,J32)=2, (G32 +  DATEDIF(G32,J32,"d")*0.5),
    COUNT(G32,K32)=2, (G32 + (DATEDIF(G32,K32,"d")-90)*0.5),
    G32&lt;&gt;"", EDATE(G32, + L32*0.5),
    H32&lt;&gt;"", EDATE(H32, + L32*0.25),
    J32&lt;&gt;"", EDATE(J32, - L32*0.5),
    K32&lt;&gt;"", EDATE(K32, -((L32*0.5)+3)),
    TRUE, ""
)</f>
        <v>47633</v>
      </c>
      <c r="P32" s="45" cm="1">
        <f t="array" ref="P32">_xlfn.IFS(
    J32&lt;&gt;"", J32,
    K32&lt;&gt;"", EDATE(K32, -3),
    G32&lt;&gt;"", EDATE(G32, + L32),
    H32&lt;&gt;"", EDATE(H32, + L32*0.75),
    I32&lt;&gt;"", EDATE(I32, H L32*0.5),
    TRUE, ""
)</f>
        <v>48090</v>
      </c>
      <c r="Q32" s="45" cm="1">
        <f t="array" ref="Q32">_xlfn.IFS(
    K32&lt;&gt;"",K32,
    J32&lt;&gt;"",EDATE(J32,3),
    P32&lt;&gt;"",EDATE(P32,3),
    TRUE,""
)</f>
        <v>48182</v>
      </c>
    </row>
    <row r="33" spans="1:17" x14ac:dyDescent="0.3">
      <c r="A33" t="str">
        <f>IF(AND(Projects!A42="", Projects!B42=""), "", IF(Projects!A42="", "Unassigned", Projects!A42))</f>
        <v/>
      </c>
      <c r="B33" t="str">
        <f>IF(Projects!B42&lt;&gt;"",Projects!B42,"")</f>
        <v/>
      </c>
      <c r="C33" t="str">
        <f>IF(AND(Projects!C42="", Projects!B42=""), "", IF(Projects!C42="", "None", Projects!C42))</f>
        <v/>
      </c>
      <c r="D33" t="str">
        <f>IF(AND(Projects!D42="", Projects!B42=""), "", IF(Projects!D42="", "No OpCo", Projects!D42))</f>
        <v/>
      </c>
      <c r="E33" t="str">
        <f>IF(Projects!E42&lt;&gt;"",Projects!E42,"")</f>
        <v/>
      </c>
      <c r="F33" t="str">
        <f>IF(Projects!F42&lt;&gt;"",Projects!F42,"")</f>
        <v/>
      </c>
      <c r="G33" s="45" t="str">
        <f>IF(Projects!G42&lt;&gt;"",Projects!G42,"")</f>
        <v/>
      </c>
      <c r="H33" s="45" t="str">
        <f>IF(Projects!H42&lt;&gt;"",Projects!H42,"")</f>
        <v/>
      </c>
      <c r="I33" s="45" t="str">
        <f>IF(Projects!I42&lt;&gt;"",Projects!I42,"")</f>
        <v/>
      </c>
      <c r="J33" s="45" t="str">
        <f>IF(Projects!J42&lt;&gt;"",Projects!J42,"")</f>
        <v/>
      </c>
      <c r="K33" s="45" t="str">
        <f>IF(Projects!K42&lt;&gt;"",Projects!K42,"")</f>
        <v/>
      </c>
      <c r="L33" t="str">
        <f>IF(AND(Projects!E42&lt;&gt;"", Projects!F42&lt;&gt;""),
INDEX('Duration Table'!$D$7:$H$17,MATCH(Projects!E42,'Duration Table'!$C$7:$C$17,0),MATCH(Projects!F42,'Duration Table'!$D$6:$H$6)),
   ""
)</f>
        <v/>
      </c>
      <c r="M33" s="45" t="str" cm="1">
        <f t="array" ref="M33">_xlfn.IFS(
    G33&lt;&gt;"",G33,
    H33&lt;&gt;"",EDATE(H33,-0.25*L33),
    N33&lt;&gt;"",EDATE(N33,-0.25*L33),
    TRUE,""
)</f>
        <v/>
      </c>
      <c r="N33" s="45" t="str" cm="1">
        <f t="array" ref="N33">_xlfn.IFS(
    H33&lt;&gt;"", H33,
    COUNT(G33,I33)=2, (G33 + (DATEDIF(G33,I33,"d")*0.5)),
    COUNT(G33,J33)=2, (G33 + (DATEDIF(G33,J33,"d")*0.25)),
    COUNT(G33,K33)=2, (G33 + ((DATEDIF(G33,K33,"d")-90)*0.25)),
    COUNT(I33,J33)=2, (I33 -(DATEDIF(I33,J33,"d")*0.5)),
    COUNT(I33,K33)=2, (I33 -((DATEDIF(I33,K33,"d")-90)*0.5)),
    G33&lt;&gt;"", EDATE(G33, + L33*0.25),
    I33&lt;&gt;"", EDATE(I33, - L33*0.25),
    J33&lt;&gt;"", EDATE(J33, - L33*0.75),
    K33&lt;&gt;"", EDATE(K33, -((L33*0.75)+3)),
    TRUE, ""
)</f>
        <v/>
      </c>
      <c r="O33" s="45" t="str" cm="1">
        <f t="array" ref="O33">_xlfn.IFS(
    I33&lt;&gt;"", I33,
    COUNT(H33,J33)=2, (H33 + (DATEDIF(H33,J33,"d")*0.33)),
    COUNT(H33,K33)=2, (H33 + ((DATEDIF(H33,K33,"d")-90)*0.33)),
    COUNT(G33,J33)=2, (G33 +  DATEDIF(G33,J33,"d")*0.5),
    COUNT(G33,K33)=2, (G33 + (DATEDIF(G33,K33,"d")-90)*0.5),
    G33&lt;&gt;"", EDATE(G33, + L33*0.5),
    H33&lt;&gt;"", EDATE(H33, + L33*0.25),
    J33&lt;&gt;"", EDATE(J33, - L33*0.5),
    K33&lt;&gt;"", EDATE(K33, -((L33*0.5)+3)),
    TRUE, ""
)</f>
        <v/>
      </c>
      <c r="P33" s="45" t="str" cm="1">
        <f t="array" ref="P33">_xlfn.IFS(
    J33&lt;&gt;"", J33,
    K33&lt;&gt;"", EDATE(K33, -3),
    G33&lt;&gt;"", EDATE(G33, + L33),
    H33&lt;&gt;"", EDATE(H33, + L33*0.75),
    I33&lt;&gt;"", EDATE(I33, H L33*0.5),
    TRUE, ""
)</f>
        <v/>
      </c>
      <c r="Q33" s="45" t="str" cm="1">
        <f t="array" ref="Q33">_xlfn.IFS(
    K33&lt;&gt;"",K33,
    J33&lt;&gt;"",EDATE(J33,3),
    P33&lt;&gt;"",EDATE(P33,3),
    TRUE,""
)</f>
        <v/>
      </c>
    </row>
    <row r="34" spans="1:17" x14ac:dyDescent="0.3">
      <c r="A34" t="str">
        <f>IF(AND(Projects!A43="", Projects!B43=""), "", IF(Projects!A43="", "Unassigned", Projects!A43))</f>
        <v/>
      </c>
      <c r="B34" t="str">
        <f>IF(Projects!B43&lt;&gt;"",Projects!B43,"")</f>
        <v/>
      </c>
      <c r="C34" t="str">
        <f>IF(AND(Projects!C43="", Projects!B43=""), "", IF(Projects!C43="", "None", Projects!C43))</f>
        <v/>
      </c>
      <c r="D34" t="str">
        <f>IF(AND(Projects!D43="", Projects!B43=""), "", IF(Projects!D43="", "No OpCo", Projects!D43))</f>
        <v/>
      </c>
      <c r="E34" t="str">
        <f>IF(Projects!E43&lt;&gt;"",Projects!E43,"")</f>
        <v/>
      </c>
      <c r="F34" t="str">
        <f>IF(Projects!F43&lt;&gt;"",Projects!F43,"")</f>
        <v/>
      </c>
      <c r="G34" s="45" t="str">
        <f>IF(Projects!G43&lt;&gt;"",Projects!G43,"")</f>
        <v/>
      </c>
      <c r="H34" s="45" t="str">
        <f>IF(Projects!H43&lt;&gt;"",Projects!H43,"")</f>
        <v/>
      </c>
      <c r="I34" s="45" t="str">
        <f>IF(Projects!I43&lt;&gt;"",Projects!I43,"")</f>
        <v/>
      </c>
      <c r="J34" s="45" t="str">
        <f>IF(Projects!J43&lt;&gt;"",Projects!J43,"")</f>
        <v/>
      </c>
      <c r="K34" s="45" t="str">
        <f>IF(Projects!K43&lt;&gt;"",Projects!K43,"")</f>
        <v/>
      </c>
      <c r="L34" t="str">
        <f>IF(AND(Projects!E43&lt;&gt;"", Projects!F43&lt;&gt;""),
INDEX('Duration Table'!$D$7:$H$17,MATCH(Projects!E43,'Duration Table'!$C$7:$C$17,0),MATCH(Projects!F43,'Duration Table'!$D$6:$H$6)),
   ""
)</f>
        <v/>
      </c>
      <c r="M34" s="45" t="str" cm="1">
        <f t="array" ref="M34">_xlfn.IFS(
    G34&lt;&gt;"",G34,
    H34&lt;&gt;"",EDATE(H34,-0.25*L34),
    N34&lt;&gt;"",EDATE(N34,-0.25*L34),
    TRUE,""
)</f>
        <v/>
      </c>
      <c r="N34" s="45" t="str" cm="1">
        <f t="array" ref="N34">_xlfn.IFS(
    H34&lt;&gt;"", H34,
    COUNT(G34,I34)=2, (G34 + (DATEDIF(G34,I34,"d")*0.5)),
    COUNT(G34,J34)=2, (G34 + (DATEDIF(G34,J34,"d")*0.25)),
    COUNT(G34,K34)=2, (G34 + ((DATEDIF(G34,K34,"d")-90)*0.25)),
    COUNT(I34,J34)=2, (I34 -(DATEDIF(I34,J34,"d")*0.5)),
    COUNT(I34,K34)=2, (I34 -((DATEDIF(I34,K34,"d")-90)*0.5)),
    G34&lt;&gt;"", EDATE(G34, + L34*0.25),
    I34&lt;&gt;"", EDATE(I34, - L34*0.25),
    J34&lt;&gt;"", EDATE(J34, - L34*0.75),
    K34&lt;&gt;"", EDATE(K34, -((L34*0.75)+3)),
    TRUE, ""
)</f>
        <v/>
      </c>
      <c r="O34" s="45" t="str" cm="1">
        <f t="array" ref="O34">_xlfn.IFS(
    I34&lt;&gt;"", I34,
    COUNT(H34,J34)=2, (H34 + (DATEDIF(H34,J34,"d")*0.33)),
    COUNT(H34,K34)=2, (H34 + ((DATEDIF(H34,K34,"d")-90)*0.33)),
    COUNT(G34,J34)=2, (G34 +  DATEDIF(G34,J34,"d")*0.5),
    COUNT(G34,K34)=2, (G34 + (DATEDIF(G34,K34,"d")-90)*0.5),
    G34&lt;&gt;"", EDATE(G34, + L34*0.5),
    H34&lt;&gt;"", EDATE(H34, + L34*0.25),
    J34&lt;&gt;"", EDATE(J34, - L34*0.5),
    K34&lt;&gt;"", EDATE(K34, -((L34*0.5)+3)),
    TRUE, ""
)</f>
        <v/>
      </c>
      <c r="P34" s="45" t="str" cm="1">
        <f t="array" ref="P34">_xlfn.IFS(
    J34&lt;&gt;"", J34,
    K34&lt;&gt;"", EDATE(K34, -3),
    G34&lt;&gt;"", EDATE(G34, + L34),
    H34&lt;&gt;"", EDATE(H34, + L34*0.75),
    I34&lt;&gt;"", EDATE(I34, H L34*0.5),
    TRUE, ""
)</f>
        <v/>
      </c>
      <c r="Q34" s="45" t="str" cm="1">
        <f t="array" ref="Q34">_xlfn.IFS(
    K34&lt;&gt;"",K34,
    J34&lt;&gt;"",EDATE(J34,3),
    P34&lt;&gt;"",EDATE(P34,3),
    TRUE,""
)</f>
        <v/>
      </c>
    </row>
    <row r="35" spans="1:17" x14ac:dyDescent="0.3">
      <c r="A35" t="str">
        <f>IF(AND(Projects!A44="", Projects!B44=""), "", IF(Projects!A44="", "Unassigned", Projects!A44))</f>
        <v/>
      </c>
      <c r="B35" t="str">
        <f>IF(Projects!B44&lt;&gt;"",Projects!B44,"")</f>
        <v/>
      </c>
      <c r="C35" t="str">
        <f>IF(AND(Projects!C44="", Projects!B44=""), "", IF(Projects!C44="", "None", Projects!C44))</f>
        <v/>
      </c>
      <c r="D35" t="str">
        <f>IF(AND(Projects!D44="", Projects!B44=""), "", IF(Projects!D44="", "No OpCo", Projects!D44))</f>
        <v/>
      </c>
      <c r="E35" t="str">
        <f>IF(Projects!E44&lt;&gt;"",Projects!E44,"")</f>
        <v/>
      </c>
      <c r="F35" t="str">
        <f>IF(Projects!F44&lt;&gt;"",Projects!F44,"")</f>
        <v/>
      </c>
      <c r="G35" s="45" t="str">
        <f>IF(Projects!G44&lt;&gt;"",Projects!G44,"")</f>
        <v/>
      </c>
      <c r="H35" s="45" t="str">
        <f>IF(Projects!H44&lt;&gt;"",Projects!H44,"")</f>
        <v/>
      </c>
      <c r="I35" s="45" t="str">
        <f>IF(Projects!I44&lt;&gt;"",Projects!I44,"")</f>
        <v/>
      </c>
      <c r="J35" s="45" t="str">
        <f>IF(Projects!J44&lt;&gt;"",Projects!J44,"")</f>
        <v/>
      </c>
      <c r="K35" s="45" t="str">
        <f>IF(Projects!K44&lt;&gt;"",Projects!K44,"")</f>
        <v/>
      </c>
      <c r="L35" t="str">
        <f>IF(AND(Projects!E44&lt;&gt;"", Projects!F44&lt;&gt;""),
INDEX('Duration Table'!$D$7:$H$17,MATCH(Projects!E44,'Duration Table'!$C$7:$C$17,0),MATCH(Projects!F44,'Duration Table'!$D$6:$H$6)),
   ""
)</f>
        <v/>
      </c>
      <c r="M35" s="45" t="str" cm="1">
        <f t="array" ref="M35">_xlfn.IFS(
    G35&lt;&gt;"",G35,
    H35&lt;&gt;"",EDATE(H35,-0.25*L35),
    N35&lt;&gt;"",EDATE(N35,-0.25*L35),
    TRUE,""
)</f>
        <v/>
      </c>
      <c r="N35" s="45" t="str" cm="1">
        <f t="array" ref="N35">_xlfn.IFS(
    H35&lt;&gt;"", H35,
    COUNT(G35,I35)=2, (G35 + (DATEDIF(G35,I35,"d")*0.5)),
    COUNT(G35,J35)=2, (G35 + (DATEDIF(G35,J35,"d")*0.25)),
    COUNT(G35,K35)=2, (G35 + ((DATEDIF(G35,K35,"d")-90)*0.25)),
    COUNT(I35,J35)=2, (I35 -(DATEDIF(I35,J35,"d")*0.5)),
    COUNT(I35,K35)=2, (I35 -((DATEDIF(I35,K35,"d")-90)*0.5)),
    G35&lt;&gt;"", EDATE(G35, + L35*0.25),
    I35&lt;&gt;"", EDATE(I35, - L35*0.25),
    J35&lt;&gt;"", EDATE(J35, - L35*0.75),
    K35&lt;&gt;"", EDATE(K35, -((L35*0.75)+3)),
    TRUE, ""
)</f>
        <v/>
      </c>
      <c r="O35" s="45" t="str" cm="1">
        <f t="array" ref="O35">_xlfn.IFS(
    I35&lt;&gt;"", I35,
    COUNT(H35,J35)=2, (H35 + (DATEDIF(H35,J35,"d")*0.33)),
    COUNT(H35,K35)=2, (H35 + ((DATEDIF(H35,K35,"d")-90)*0.33)),
    COUNT(G35,J35)=2, (G35 +  DATEDIF(G35,J35,"d")*0.5),
    COUNT(G35,K35)=2, (G35 + (DATEDIF(G35,K35,"d")-90)*0.5),
    G35&lt;&gt;"", EDATE(G35, + L35*0.5),
    H35&lt;&gt;"", EDATE(H35, + L35*0.25),
    J35&lt;&gt;"", EDATE(J35, - L35*0.5),
    K35&lt;&gt;"", EDATE(K35, -((L35*0.5)+3)),
    TRUE, ""
)</f>
        <v/>
      </c>
      <c r="P35" s="45" t="str" cm="1">
        <f t="array" ref="P35">_xlfn.IFS(
    J35&lt;&gt;"", J35,
    K35&lt;&gt;"", EDATE(K35, -3),
    G35&lt;&gt;"", EDATE(G35, + L35),
    H35&lt;&gt;"", EDATE(H35, + L35*0.75),
    I35&lt;&gt;"", EDATE(I35, H L35*0.5),
    TRUE, ""
)</f>
        <v/>
      </c>
      <c r="Q35" s="45" t="str" cm="1">
        <f t="array" ref="Q35">_xlfn.IFS(
    K35&lt;&gt;"",K35,
    J35&lt;&gt;"",EDATE(J35,3),
    P35&lt;&gt;"",EDATE(P35,3),
    TRUE,""
)</f>
        <v/>
      </c>
    </row>
    <row r="36" spans="1:17" x14ac:dyDescent="0.3">
      <c r="A36" t="str">
        <f>IF(AND(Projects!A45="", Projects!B45=""), "", IF(Projects!A45="", "Unassigned", Projects!A45))</f>
        <v/>
      </c>
      <c r="B36" t="str">
        <f>IF(Projects!B45&lt;&gt;"",Projects!B45,"")</f>
        <v/>
      </c>
      <c r="C36" t="str">
        <f>IF(AND(Projects!C45="", Projects!B45=""), "", IF(Projects!C45="", "None", Projects!C45))</f>
        <v/>
      </c>
      <c r="D36" t="str">
        <f>IF(AND(Projects!D45="", Projects!B45=""), "", IF(Projects!D45="", "No OpCo", Projects!D45))</f>
        <v/>
      </c>
      <c r="E36" t="str">
        <f>IF(Projects!E45&lt;&gt;"",Projects!E45,"")</f>
        <v/>
      </c>
      <c r="F36" t="str">
        <f>IF(Projects!F45&lt;&gt;"",Projects!F45,"")</f>
        <v/>
      </c>
      <c r="G36" s="45" t="str">
        <f>IF(Projects!G45&lt;&gt;"",Projects!G45,"")</f>
        <v/>
      </c>
      <c r="H36" s="45" t="str">
        <f>IF(Projects!H45&lt;&gt;"",Projects!H45,"")</f>
        <v/>
      </c>
      <c r="I36" s="45" t="str">
        <f>IF(Projects!I45&lt;&gt;"",Projects!I45,"")</f>
        <v/>
      </c>
      <c r="J36" s="45" t="str">
        <f>IF(Projects!J45&lt;&gt;"",Projects!J45,"")</f>
        <v/>
      </c>
      <c r="K36" s="45" t="str">
        <f>IF(Projects!K45&lt;&gt;"",Projects!K45,"")</f>
        <v/>
      </c>
      <c r="L36" t="str">
        <f>IF(AND(Projects!E45&lt;&gt;"", Projects!F45&lt;&gt;""),
INDEX('Duration Table'!$D$7:$H$17,MATCH(Projects!E45,'Duration Table'!$C$7:$C$17,0),MATCH(Projects!F45,'Duration Table'!$D$6:$H$6)),
   ""
)</f>
        <v/>
      </c>
      <c r="M36" s="45" t="str" cm="1">
        <f t="array" ref="M36">_xlfn.IFS(
    G36&lt;&gt;"",G36,
    H36&lt;&gt;"",EDATE(H36,-0.25*L36),
    N36&lt;&gt;"",EDATE(N36,-0.25*L36),
    TRUE,""
)</f>
        <v/>
      </c>
      <c r="N36" s="45" t="str" cm="1">
        <f t="array" ref="N36">_xlfn.IFS(
    H36&lt;&gt;"", H36,
    COUNT(G36,I36)=2, (G36 + (DATEDIF(G36,I36,"d")*0.5)),
    COUNT(G36,J36)=2, (G36 + (DATEDIF(G36,J36,"d")*0.25)),
    COUNT(G36,K36)=2, (G36 + ((DATEDIF(G36,K36,"d")-90)*0.25)),
    COUNT(I36,J36)=2, (I36 -(DATEDIF(I36,J36,"d")*0.5)),
    COUNT(I36,K36)=2, (I36 -((DATEDIF(I36,K36,"d")-90)*0.5)),
    G36&lt;&gt;"", EDATE(G36, + L36*0.25),
    I36&lt;&gt;"", EDATE(I36, - L36*0.25),
    J36&lt;&gt;"", EDATE(J36, - L36*0.75),
    K36&lt;&gt;"", EDATE(K36, -((L36*0.75)+3)),
    TRUE, ""
)</f>
        <v/>
      </c>
      <c r="O36" s="45" t="str" cm="1">
        <f t="array" ref="O36">_xlfn.IFS(
    I36&lt;&gt;"", I36,
    COUNT(H36,J36)=2, (H36 + (DATEDIF(H36,J36,"d")*0.33)),
    COUNT(H36,K36)=2, (H36 + ((DATEDIF(H36,K36,"d")-90)*0.33)),
    COUNT(G36,J36)=2, (G36 +  DATEDIF(G36,J36,"d")*0.5),
    COUNT(G36,K36)=2, (G36 + (DATEDIF(G36,K36,"d")-90)*0.5),
    G36&lt;&gt;"", EDATE(G36, + L36*0.5),
    H36&lt;&gt;"", EDATE(H36, + L36*0.25),
    J36&lt;&gt;"", EDATE(J36, - L36*0.5),
    K36&lt;&gt;"", EDATE(K36, -((L36*0.5)+3)),
    TRUE, ""
)</f>
        <v/>
      </c>
      <c r="P36" s="45" t="str" cm="1">
        <f t="array" ref="P36">_xlfn.IFS(
    J36&lt;&gt;"", J36,
    K36&lt;&gt;"", EDATE(K36, -3),
    G36&lt;&gt;"", EDATE(G36, + L36),
    H36&lt;&gt;"", EDATE(H36, + L36*0.75),
    I36&lt;&gt;"", EDATE(I36, H L36*0.5),
    TRUE, ""
)</f>
        <v/>
      </c>
      <c r="Q36" s="45" t="str" cm="1">
        <f t="array" ref="Q36">_xlfn.IFS(
    K36&lt;&gt;"",K36,
    J36&lt;&gt;"",EDATE(J36,3),
    P36&lt;&gt;"",EDATE(P36,3),
    TRUE,""
)</f>
        <v/>
      </c>
    </row>
    <row r="37" spans="1:17" x14ac:dyDescent="0.3">
      <c r="A37" t="str">
        <f>IF(AND(Projects!A46="", Projects!B46=""), "", IF(Projects!A46="", "Unassigned", Projects!A46))</f>
        <v/>
      </c>
      <c r="B37" t="str">
        <f>IF(Projects!B46&lt;&gt;"",Projects!B46,"")</f>
        <v/>
      </c>
      <c r="C37" t="str">
        <f>IF(AND(Projects!C46="", Projects!B46=""), "", IF(Projects!C46="", "None", Projects!C46))</f>
        <v/>
      </c>
      <c r="D37" t="str">
        <f>IF(AND(Projects!D46="", Projects!B46=""), "", IF(Projects!D46="", "No OpCo", Projects!D46))</f>
        <v/>
      </c>
      <c r="E37" t="str">
        <f>IF(Projects!E46&lt;&gt;"",Projects!E46,"")</f>
        <v/>
      </c>
      <c r="F37" t="str">
        <f>IF(Projects!F46&lt;&gt;"",Projects!F46,"")</f>
        <v/>
      </c>
      <c r="G37" s="45" t="str">
        <f>IF(Projects!G46&lt;&gt;"",Projects!G46,"")</f>
        <v/>
      </c>
      <c r="H37" s="45" t="str">
        <f>IF(Projects!H46&lt;&gt;"",Projects!H46,"")</f>
        <v/>
      </c>
      <c r="I37" s="45" t="str">
        <f>IF(Projects!I46&lt;&gt;"",Projects!I46,"")</f>
        <v/>
      </c>
      <c r="J37" s="45" t="str">
        <f>IF(Projects!J46&lt;&gt;"",Projects!J46,"")</f>
        <v/>
      </c>
      <c r="K37" s="45" t="str">
        <f>IF(Projects!K46&lt;&gt;"",Projects!K46,"")</f>
        <v/>
      </c>
      <c r="L37" t="str">
        <f>IF(AND(Projects!E46&lt;&gt;"", Projects!F46&lt;&gt;""),
INDEX('Duration Table'!$D$7:$H$17,MATCH(Projects!E46,'Duration Table'!$C$7:$C$17,0),MATCH(Projects!F46,'Duration Table'!$D$6:$H$6)),
   ""
)</f>
        <v/>
      </c>
      <c r="M37" s="45" t="str" cm="1">
        <f t="array" ref="M37">_xlfn.IFS(
    G37&lt;&gt;"",G37,
    H37&lt;&gt;"",EDATE(H37,-0.25*L37),
    N37&lt;&gt;"",EDATE(N37,-0.25*L37),
    TRUE,""
)</f>
        <v/>
      </c>
      <c r="N37" s="45" t="str" cm="1">
        <f t="array" ref="N37">_xlfn.IFS(
    H37&lt;&gt;"", H37,
    COUNT(G37,I37)=2, (G37 + (DATEDIF(G37,I37,"d")*0.5)),
    COUNT(G37,J37)=2, (G37 + (DATEDIF(G37,J37,"d")*0.25)),
    COUNT(G37,K37)=2, (G37 + ((DATEDIF(G37,K37,"d")-90)*0.25)),
    COUNT(I37,J37)=2, (I37 -(DATEDIF(I37,J37,"d")*0.5)),
    COUNT(I37,K37)=2, (I37 -((DATEDIF(I37,K37,"d")-90)*0.5)),
    G37&lt;&gt;"", EDATE(G37, + L37*0.25),
    I37&lt;&gt;"", EDATE(I37, - L37*0.25),
    J37&lt;&gt;"", EDATE(J37, - L37*0.75),
    K37&lt;&gt;"", EDATE(K37, -((L37*0.75)+3)),
    TRUE, ""
)</f>
        <v/>
      </c>
      <c r="O37" s="45" t="str" cm="1">
        <f t="array" ref="O37">_xlfn.IFS(
    I37&lt;&gt;"", I37,
    COUNT(H37,J37)=2, (H37 + (DATEDIF(H37,J37,"d")*0.33)),
    COUNT(H37,K37)=2, (H37 + ((DATEDIF(H37,K37,"d")-90)*0.33)),
    COUNT(G37,J37)=2, (G37 +  DATEDIF(G37,J37,"d")*0.5),
    COUNT(G37,K37)=2, (G37 + (DATEDIF(G37,K37,"d")-90)*0.5),
    G37&lt;&gt;"", EDATE(G37, + L37*0.5),
    H37&lt;&gt;"", EDATE(H37, + L37*0.25),
    J37&lt;&gt;"", EDATE(J37, - L37*0.5),
    K37&lt;&gt;"", EDATE(K37, -((L37*0.5)+3)),
    TRUE, ""
)</f>
        <v/>
      </c>
      <c r="P37" s="45" t="str" cm="1">
        <f t="array" ref="P37">_xlfn.IFS(
    J37&lt;&gt;"", J37,
    K37&lt;&gt;"", EDATE(K37, -3),
    G37&lt;&gt;"", EDATE(G37, + L37),
    H37&lt;&gt;"", EDATE(H37, + L37*0.75),
    I37&lt;&gt;"", EDATE(I37, H L37*0.5),
    TRUE, ""
)</f>
        <v/>
      </c>
      <c r="Q37" s="45" t="str" cm="1">
        <f t="array" ref="Q37">_xlfn.IFS(
    K37&lt;&gt;"",K37,
    J37&lt;&gt;"",EDATE(J37,3),
    P37&lt;&gt;"",EDATE(P37,3),
    TRUE,""
)</f>
        <v/>
      </c>
    </row>
    <row r="38" spans="1:17" x14ac:dyDescent="0.3">
      <c r="A38" t="str">
        <f>IF(AND(Projects!A47="", Projects!B47=""), "", IF(Projects!A47="", "Unassigned", Projects!A47))</f>
        <v/>
      </c>
      <c r="B38" t="str">
        <f>IF(Projects!B47&lt;&gt;"",Projects!B47,"")</f>
        <v/>
      </c>
      <c r="C38" t="str">
        <f>IF(AND(Projects!C47="", Projects!B47=""), "", IF(Projects!C47="", "None", Projects!C47))</f>
        <v/>
      </c>
      <c r="D38" t="str">
        <f>IF(AND(Projects!D47="", Projects!B47=""), "", IF(Projects!D47="", "No OpCo", Projects!D47))</f>
        <v/>
      </c>
      <c r="E38" t="str">
        <f>IF(Projects!E47&lt;&gt;"",Projects!E47,"")</f>
        <v/>
      </c>
      <c r="F38" t="str">
        <f>IF(Projects!F47&lt;&gt;"",Projects!F47,"")</f>
        <v/>
      </c>
      <c r="G38" s="45" t="str">
        <f>IF(Projects!G47&lt;&gt;"",Projects!G47,"")</f>
        <v/>
      </c>
      <c r="H38" s="45" t="str">
        <f>IF(Projects!H47&lt;&gt;"",Projects!H47,"")</f>
        <v/>
      </c>
      <c r="I38" s="45" t="str">
        <f>IF(Projects!I47&lt;&gt;"",Projects!I47,"")</f>
        <v/>
      </c>
      <c r="J38" s="45" t="str">
        <f>IF(Projects!J47&lt;&gt;"",Projects!J47,"")</f>
        <v/>
      </c>
      <c r="K38" s="45" t="str">
        <f>IF(Projects!K47&lt;&gt;"",Projects!K47,"")</f>
        <v/>
      </c>
      <c r="L38" t="str">
        <f>IF(AND(Projects!E47&lt;&gt;"", Projects!F47&lt;&gt;""),
INDEX('Duration Table'!$D$7:$H$17,MATCH(Projects!E47,'Duration Table'!$C$7:$C$17,0),MATCH(Projects!F47,'Duration Table'!$D$6:$H$6)),
   ""
)</f>
        <v/>
      </c>
      <c r="M38" s="45" t="str" cm="1">
        <f t="array" ref="M38">_xlfn.IFS(
    G38&lt;&gt;"",G38,
    H38&lt;&gt;"",EDATE(H38,-0.25*L38),
    N38&lt;&gt;"",EDATE(N38,-0.25*L38),
    TRUE,""
)</f>
        <v/>
      </c>
      <c r="N38" s="45" t="str" cm="1">
        <f t="array" ref="N38">_xlfn.IFS(
    H38&lt;&gt;"", H38,
    COUNT(G38,I38)=2, (G38 + (DATEDIF(G38,I38,"d")*0.5)),
    COUNT(G38,J38)=2, (G38 + (DATEDIF(G38,J38,"d")*0.25)),
    COUNT(G38,K38)=2, (G38 + ((DATEDIF(G38,K38,"d")-90)*0.25)),
    COUNT(I38,J38)=2, (I38 -(DATEDIF(I38,J38,"d")*0.5)),
    COUNT(I38,K38)=2, (I38 -((DATEDIF(I38,K38,"d")-90)*0.5)),
    G38&lt;&gt;"", EDATE(G38, + L38*0.25),
    I38&lt;&gt;"", EDATE(I38, - L38*0.25),
    J38&lt;&gt;"", EDATE(J38, - L38*0.75),
    K38&lt;&gt;"", EDATE(K38, -((L38*0.75)+3)),
    TRUE, ""
)</f>
        <v/>
      </c>
      <c r="O38" s="45" t="str" cm="1">
        <f t="array" ref="O38">_xlfn.IFS(
    I38&lt;&gt;"", I38,
    COUNT(H38,J38)=2, (H38 + (DATEDIF(H38,J38,"d")*0.33)),
    COUNT(H38,K38)=2, (H38 + ((DATEDIF(H38,K38,"d")-90)*0.33)),
    COUNT(G38,J38)=2, (G38 +  DATEDIF(G38,J38,"d")*0.5),
    COUNT(G38,K38)=2, (G38 + (DATEDIF(G38,K38,"d")-90)*0.5),
    G38&lt;&gt;"", EDATE(G38, + L38*0.5),
    H38&lt;&gt;"", EDATE(H38, + L38*0.25),
    J38&lt;&gt;"", EDATE(J38, - L38*0.5),
    K38&lt;&gt;"", EDATE(K38, -((L38*0.5)+3)),
    TRUE, ""
)</f>
        <v/>
      </c>
      <c r="P38" s="45" t="str" cm="1">
        <f t="array" ref="P38">_xlfn.IFS(
    J38&lt;&gt;"", J38,
    K38&lt;&gt;"", EDATE(K38, -3),
    G38&lt;&gt;"", EDATE(G38, + L38),
    H38&lt;&gt;"", EDATE(H38, + L38*0.75),
    I38&lt;&gt;"", EDATE(I38, H L38*0.5),
    TRUE, ""
)</f>
        <v/>
      </c>
      <c r="Q38" s="45" t="str" cm="1">
        <f t="array" ref="Q38">_xlfn.IFS(
    K38&lt;&gt;"",K38,
    J38&lt;&gt;"",EDATE(J38,3),
    P38&lt;&gt;"",EDATE(P38,3),
    TRUE,""
)</f>
        <v/>
      </c>
    </row>
    <row r="39" spans="1:17" x14ac:dyDescent="0.3">
      <c r="A39" t="str">
        <f>IF(AND(Projects!A48="", Projects!B48=""), "", IF(Projects!A48="", "Unassigned", Projects!A48))</f>
        <v/>
      </c>
      <c r="B39" t="str">
        <f>IF(Projects!B48&lt;&gt;"",Projects!B48,"")</f>
        <v/>
      </c>
      <c r="C39" t="str">
        <f>IF(AND(Projects!C48="", Projects!B48=""), "", IF(Projects!C48="", "None", Projects!C48))</f>
        <v/>
      </c>
      <c r="D39" t="str">
        <f>IF(AND(Projects!D48="", Projects!B48=""), "", IF(Projects!D48="", "No OpCo", Projects!D48))</f>
        <v/>
      </c>
      <c r="E39" t="str">
        <f>IF(Projects!E48&lt;&gt;"",Projects!E48,"")</f>
        <v/>
      </c>
      <c r="F39" t="str">
        <f>IF(Projects!F48&lt;&gt;"",Projects!F48,"")</f>
        <v/>
      </c>
      <c r="G39" s="45" t="str">
        <f>IF(Projects!G48&lt;&gt;"",Projects!G48,"")</f>
        <v/>
      </c>
      <c r="H39" s="45" t="str">
        <f>IF(Projects!H48&lt;&gt;"",Projects!H48,"")</f>
        <v/>
      </c>
      <c r="I39" s="45" t="str">
        <f>IF(Projects!I48&lt;&gt;"",Projects!I48,"")</f>
        <v/>
      </c>
      <c r="J39" s="45" t="str">
        <f>IF(Projects!J48&lt;&gt;"",Projects!J48,"")</f>
        <v/>
      </c>
      <c r="K39" s="45" t="str">
        <f>IF(Projects!K48&lt;&gt;"",Projects!K48,"")</f>
        <v/>
      </c>
      <c r="L39" t="str">
        <f>IF(AND(Projects!E48&lt;&gt;"", Projects!F48&lt;&gt;""),
INDEX('Duration Table'!$D$7:$H$17,MATCH(Projects!E48,'Duration Table'!$C$7:$C$17,0),MATCH(Projects!F48,'Duration Table'!$D$6:$H$6)),
   ""
)</f>
        <v/>
      </c>
      <c r="M39" s="45" t="str" cm="1">
        <f t="array" ref="M39">_xlfn.IFS(
    G39&lt;&gt;"",G39,
    H39&lt;&gt;"",EDATE(H39,-0.25*L39),
    N39&lt;&gt;"",EDATE(N39,-0.25*L39),
    TRUE,""
)</f>
        <v/>
      </c>
      <c r="N39" s="45" t="str" cm="1">
        <f t="array" ref="N39">_xlfn.IFS(
    H39&lt;&gt;"", H39,
    COUNT(G39,I39)=2, (G39 + (DATEDIF(G39,I39,"d")*0.5)),
    COUNT(G39,J39)=2, (G39 + (DATEDIF(G39,J39,"d")*0.25)),
    COUNT(G39,K39)=2, (G39 + ((DATEDIF(G39,K39,"d")-90)*0.25)),
    COUNT(I39,J39)=2, (I39 -(DATEDIF(I39,J39,"d")*0.5)),
    COUNT(I39,K39)=2, (I39 -((DATEDIF(I39,K39,"d")-90)*0.5)),
    G39&lt;&gt;"", EDATE(G39, + L39*0.25),
    I39&lt;&gt;"", EDATE(I39, - L39*0.25),
    J39&lt;&gt;"", EDATE(J39, - L39*0.75),
    K39&lt;&gt;"", EDATE(K39, -((L39*0.75)+3)),
    TRUE, ""
)</f>
        <v/>
      </c>
      <c r="O39" s="45" t="str" cm="1">
        <f t="array" ref="O39">_xlfn.IFS(
    I39&lt;&gt;"", I39,
    COUNT(H39,J39)=2, (H39 + (DATEDIF(H39,J39,"d")*0.33)),
    COUNT(H39,K39)=2, (H39 + ((DATEDIF(H39,K39,"d")-90)*0.33)),
    COUNT(G39,J39)=2, (G39 +  DATEDIF(G39,J39,"d")*0.5),
    COUNT(G39,K39)=2, (G39 + (DATEDIF(G39,K39,"d")-90)*0.5),
    G39&lt;&gt;"", EDATE(G39, + L39*0.5),
    H39&lt;&gt;"", EDATE(H39, + L39*0.25),
    J39&lt;&gt;"", EDATE(J39, - L39*0.5),
    K39&lt;&gt;"", EDATE(K39, -((L39*0.5)+3)),
    TRUE, ""
)</f>
        <v/>
      </c>
      <c r="P39" s="45" t="str" cm="1">
        <f t="array" ref="P39">_xlfn.IFS(
    J39&lt;&gt;"", J39,
    K39&lt;&gt;"", EDATE(K39, -3),
    G39&lt;&gt;"", EDATE(G39, + L39),
    H39&lt;&gt;"", EDATE(H39, + L39*0.75),
    I39&lt;&gt;"", EDATE(I39, H L39*0.5),
    TRUE, ""
)</f>
        <v/>
      </c>
      <c r="Q39" s="45" t="str" cm="1">
        <f t="array" ref="Q39">_xlfn.IFS(
    K39&lt;&gt;"",K39,
    J39&lt;&gt;"",EDATE(J39,3),
    P39&lt;&gt;"",EDATE(P39,3),
    TRUE,""
)</f>
        <v/>
      </c>
    </row>
    <row r="40" spans="1:17" x14ac:dyDescent="0.3">
      <c r="A40" t="str">
        <f>IF(AND(Projects!A49="", Projects!B49=""), "", IF(Projects!A49="", "Unassigned", Projects!A49))</f>
        <v/>
      </c>
      <c r="B40" t="str">
        <f>IF(Projects!B49&lt;&gt;"",Projects!B49,"")</f>
        <v/>
      </c>
      <c r="C40" t="str">
        <f>IF(AND(Projects!C49="", Projects!B49=""), "", IF(Projects!C49="", "None", Projects!C49))</f>
        <v/>
      </c>
      <c r="D40" t="str">
        <f>IF(AND(Projects!D49="", Projects!B49=""), "", IF(Projects!D49="", "No OpCo", Projects!D49))</f>
        <v/>
      </c>
      <c r="E40" t="str">
        <f>IF(Projects!E49&lt;&gt;"",Projects!E49,"")</f>
        <v/>
      </c>
      <c r="F40" t="str">
        <f>IF(Projects!F49&lt;&gt;"",Projects!F49,"")</f>
        <v/>
      </c>
      <c r="G40" s="45" t="str">
        <f>IF(Projects!G49&lt;&gt;"",Projects!G49,"")</f>
        <v/>
      </c>
      <c r="H40" s="45" t="str">
        <f>IF(Projects!H49&lt;&gt;"",Projects!H49,"")</f>
        <v/>
      </c>
      <c r="I40" s="45" t="str">
        <f>IF(Projects!I49&lt;&gt;"",Projects!I49,"")</f>
        <v/>
      </c>
      <c r="J40" s="45" t="str">
        <f>IF(Projects!J49&lt;&gt;"",Projects!J49,"")</f>
        <v/>
      </c>
      <c r="K40" s="45" t="str">
        <f>IF(Projects!K49&lt;&gt;"",Projects!K49,"")</f>
        <v/>
      </c>
      <c r="L40" t="str">
        <f>IF(AND(Projects!E49&lt;&gt;"", Projects!F49&lt;&gt;""),
INDEX('Duration Table'!$D$7:$H$17,MATCH(Projects!E49,'Duration Table'!$C$7:$C$17,0),MATCH(Projects!F49,'Duration Table'!$D$6:$H$6)),
   ""
)</f>
        <v/>
      </c>
      <c r="M40" s="45" t="str" cm="1">
        <f t="array" ref="M40">_xlfn.IFS(
    G40&lt;&gt;"",G40,
    H40&lt;&gt;"",EDATE(H40,-0.25*L40),
    N40&lt;&gt;"",EDATE(N40,-0.25*L40),
    TRUE,""
)</f>
        <v/>
      </c>
      <c r="N40" s="45" t="str" cm="1">
        <f t="array" ref="N40">_xlfn.IFS(
    H40&lt;&gt;"", H40,
    COUNT(G40,I40)=2, (G40 + (DATEDIF(G40,I40,"d")*0.5)),
    COUNT(G40,J40)=2, (G40 + (DATEDIF(G40,J40,"d")*0.25)),
    COUNT(G40,K40)=2, (G40 + ((DATEDIF(G40,K40,"d")-90)*0.25)),
    COUNT(I40,J40)=2, (I40 -(DATEDIF(I40,J40,"d")*0.5)),
    COUNT(I40,K40)=2, (I40 -((DATEDIF(I40,K40,"d")-90)*0.5)),
    G40&lt;&gt;"", EDATE(G40, + L40*0.25),
    I40&lt;&gt;"", EDATE(I40, - L40*0.25),
    J40&lt;&gt;"", EDATE(J40, - L40*0.75),
    K40&lt;&gt;"", EDATE(K40, -((L40*0.75)+3)),
    TRUE, ""
)</f>
        <v/>
      </c>
      <c r="O40" s="45" t="str" cm="1">
        <f t="array" ref="O40">_xlfn.IFS(
    I40&lt;&gt;"", I40,
    COUNT(H40,J40)=2, (H40 + (DATEDIF(H40,J40,"d")*0.33)),
    COUNT(H40,K40)=2, (H40 + ((DATEDIF(H40,K40,"d")-90)*0.33)),
    COUNT(G40,J40)=2, (G40 +  DATEDIF(G40,J40,"d")*0.5),
    COUNT(G40,K40)=2, (G40 + (DATEDIF(G40,K40,"d")-90)*0.5),
    G40&lt;&gt;"", EDATE(G40, + L40*0.5),
    H40&lt;&gt;"", EDATE(H40, + L40*0.25),
    J40&lt;&gt;"", EDATE(J40, - L40*0.5),
    K40&lt;&gt;"", EDATE(K40, -((L40*0.5)+3)),
    TRUE, ""
)</f>
        <v/>
      </c>
      <c r="P40" s="45" t="str" cm="1">
        <f t="array" ref="P40">_xlfn.IFS(
    J40&lt;&gt;"", J40,
    K40&lt;&gt;"", EDATE(K40, -3),
    G40&lt;&gt;"", EDATE(G40, + L40),
    H40&lt;&gt;"", EDATE(H40, + L40*0.75),
    I40&lt;&gt;"", EDATE(I40, H L40*0.5),
    TRUE, ""
)</f>
        <v/>
      </c>
      <c r="Q40" s="45" t="str" cm="1">
        <f t="array" ref="Q40">_xlfn.IFS(
    K40&lt;&gt;"",K40,
    J40&lt;&gt;"",EDATE(J40,3),
    P40&lt;&gt;"",EDATE(P40,3),
    TRUE,""
)</f>
        <v/>
      </c>
    </row>
    <row r="41" spans="1:17" x14ac:dyDescent="0.3">
      <c r="A41" t="str">
        <f>IF(AND(Projects!A50="", Projects!B50=""), "", IF(Projects!A50="", "Unassigned", Projects!A50))</f>
        <v/>
      </c>
      <c r="B41" t="str">
        <f>IF(Projects!B50&lt;&gt;"",Projects!B50,"")</f>
        <v/>
      </c>
      <c r="C41" t="str">
        <f>IF(AND(Projects!C50="", Projects!B50=""), "", IF(Projects!C50="", "None", Projects!C50))</f>
        <v/>
      </c>
      <c r="D41" t="str">
        <f>IF(AND(Projects!D50="", Projects!B50=""), "", IF(Projects!D50="", "No OpCo", Projects!D50))</f>
        <v/>
      </c>
      <c r="E41" t="str">
        <f>IF(Projects!E50&lt;&gt;"",Projects!E50,"")</f>
        <v/>
      </c>
      <c r="F41" t="str">
        <f>IF(Projects!F50&lt;&gt;"",Projects!F50,"")</f>
        <v/>
      </c>
      <c r="G41" s="45" t="str">
        <f>IF(Projects!G50&lt;&gt;"",Projects!G50,"")</f>
        <v/>
      </c>
      <c r="H41" s="45" t="str">
        <f>IF(Projects!H50&lt;&gt;"",Projects!H50,"")</f>
        <v/>
      </c>
      <c r="I41" s="45" t="str">
        <f>IF(Projects!I50&lt;&gt;"",Projects!I50,"")</f>
        <v/>
      </c>
      <c r="J41" s="45" t="str">
        <f>IF(Projects!J50&lt;&gt;"",Projects!J50,"")</f>
        <v/>
      </c>
      <c r="K41" s="45" t="str">
        <f>IF(Projects!K50&lt;&gt;"",Projects!K50,"")</f>
        <v/>
      </c>
      <c r="L41" t="str">
        <f>IF(AND(Projects!E50&lt;&gt;"", Projects!F50&lt;&gt;""),
INDEX('Duration Table'!$D$7:$H$17,MATCH(Projects!E50,'Duration Table'!$C$7:$C$17,0),MATCH(Projects!F50,'Duration Table'!$D$6:$H$6)),
   ""
)</f>
        <v/>
      </c>
      <c r="M41" s="45" t="str" cm="1">
        <f t="array" ref="M41">_xlfn.IFS(
    G41&lt;&gt;"",G41,
    H41&lt;&gt;"",EDATE(H41,-0.25*L41),
    N41&lt;&gt;"",EDATE(N41,-0.25*L41),
    TRUE,""
)</f>
        <v/>
      </c>
      <c r="N41" s="45" t="str" cm="1">
        <f t="array" ref="N41">_xlfn.IFS(
    H41&lt;&gt;"", H41,
    COUNT(G41,I41)=2, (G41 + (DATEDIF(G41,I41,"d")*0.5)),
    COUNT(G41,J41)=2, (G41 + (DATEDIF(G41,J41,"d")*0.25)),
    COUNT(G41,K41)=2, (G41 + ((DATEDIF(G41,K41,"d")-90)*0.25)),
    COUNT(I41,J41)=2, (I41 -(DATEDIF(I41,J41,"d")*0.5)),
    COUNT(I41,K41)=2, (I41 -((DATEDIF(I41,K41,"d")-90)*0.5)),
    G41&lt;&gt;"", EDATE(G41, + L41*0.25),
    I41&lt;&gt;"", EDATE(I41, - L41*0.25),
    J41&lt;&gt;"", EDATE(J41, - L41*0.75),
    K41&lt;&gt;"", EDATE(K41, -((L41*0.75)+3)),
    TRUE, ""
)</f>
        <v/>
      </c>
      <c r="O41" s="45" t="str" cm="1">
        <f t="array" ref="O41">_xlfn.IFS(
    I41&lt;&gt;"", I41,
    COUNT(H41,J41)=2, (H41 + (DATEDIF(H41,J41,"d")*0.33)),
    COUNT(H41,K41)=2, (H41 + ((DATEDIF(H41,K41,"d")-90)*0.33)),
    COUNT(G41,J41)=2, (G41 +  DATEDIF(G41,J41,"d")*0.5),
    COUNT(G41,K41)=2, (G41 + (DATEDIF(G41,K41,"d")-90)*0.5),
    G41&lt;&gt;"", EDATE(G41, + L41*0.5),
    H41&lt;&gt;"", EDATE(H41, + L41*0.25),
    J41&lt;&gt;"", EDATE(J41, - L41*0.5),
    K41&lt;&gt;"", EDATE(K41, -((L41*0.5)+3)),
    TRUE, ""
)</f>
        <v/>
      </c>
      <c r="P41" s="45" t="str" cm="1">
        <f t="array" ref="P41">_xlfn.IFS(
    J41&lt;&gt;"", J41,
    K41&lt;&gt;"", EDATE(K41, -3),
    G41&lt;&gt;"", EDATE(G41, + L41),
    H41&lt;&gt;"", EDATE(H41, + L41*0.75),
    I41&lt;&gt;"", EDATE(I41, H L41*0.5),
    TRUE, ""
)</f>
        <v/>
      </c>
      <c r="Q41" s="45" t="str" cm="1">
        <f t="array" ref="Q41">_xlfn.IFS(
    K41&lt;&gt;"",K41,
    J41&lt;&gt;"",EDATE(J41,3),
    P41&lt;&gt;"",EDATE(P41,3),
    TRUE,""
)</f>
        <v/>
      </c>
    </row>
    <row r="42" spans="1:17" x14ac:dyDescent="0.3">
      <c r="A42" t="str">
        <f>IF(AND(Projects!A51="", Projects!B51=""), "", IF(Projects!A51="", "Unassigned", Projects!A51))</f>
        <v/>
      </c>
      <c r="B42" t="str">
        <f>IF(Projects!B51&lt;&gt;"",Projects!B51,"")</f>
        <v/>
      </c>
      <c r="C42" t="str">
        <f>IF(AND(Projects!C51="", Projects!B51=""), "", IF(Projects!C51="", "None", Projects!C51))</f>
        <v/>
      </c>
      <c r="D42" t="str">
        <f>IF(AND(Projects!D51="", Projects!B51=""), "", IF(Projects!D51="", "No OpCo", Projects!D51))</f>
        <v/>
      </c>
      <c r="E42" t="str">
        <f>IF(Projects!E51&lt;&gt;"",Projects!E51,"")</f>
        <v/>
      </c>
      <c r="F42" t="str">
        <f>IF(Projects!F51&lt;&gt;"",Projects!F51,"")</f>
        <v/>
      </c>
      <c r="G42" s="45" t="str">
        <f>IF(Projects!G51&lt;&gt;"",Projects!G51,"")</f>
        <v/>
      </c>
      <c r="H42" s="45" t="str">
        <f>IF(Projects!H51&lt;&gt;"",Projects!H51,"")</f>
        <v/>
      </c>
      <c r="I42" s="45" t="str">
        <f>IF(Projects!I51&lt;&gt;"",Projects!I51,"")</f>
        <v/>
      </c>
      <c r="J42" s="45" t="str">
        <f>IF(Projects!J51&lt;&gt;"",Projects!J51,"")</f>
        <v/>
      </c>
      <c r="K42" s="45" t="str">
        <f>IF(Projects!K51&lt;&gt;"",Projects!K51,"")</f>
        <v/>
      </c>
      <c r="L42" t="str">
        <f>IF(AND(Projects!E51&lt;&gt;"", Projects!F51&lt;&gt;""),
INDEX('Duration Table'!$D$7:$H$17,MATCH(Projects!E51,'Duration Table'!$C$7:$C$17,0),MATCH(Projects!F51,'Duration Table'!$D$6:$H$6)),
   ""
)</f>
        <v/>
      </c>
      <c r="M42" s="45" t="str" cm="1">
        <f t="array" ref="M42">_xlfn.IFS(
    G42&lt;&gt;"",G42,
    H42&lt;&gt;"",EDATE(H42,-0.25*L42),
    N42&lt;&gt;"",EDATE(N42,-0.25*L42),
    TRUE,""
)</f>
        <v/>
      </c>
      <c r="N42" s="45" t="str" cm="1">
        <f t="array" ref="N42">_xlfn.IFS(
    H42&lt;&gt;"", H42,
    COUNT(G42,I42)=2, (G42 + (DATEDIF(G42,I42,"d")*0.5)),
    COUNT(G42,J42)=2, (G42 + (DATEDIF(G42,J42,"d")*0.25)),
    COUNT(G42,K42)=2, (G42 + ((DATEDIF(G42,K42,"d")-90)*0.25)),
    COUNT(I42,J42)=2, (I42 -(DATEDIF(I42,J42,"d")*0.5)),
    COUNT(I42,K42)=2, (I42 -((DATEDIF(I42,K42,"d")-90)*0.5)),
    G42&lt;&gt;"", EDATE(G42, + L42*0.25),
    I42&lt;&gt;"", EDATE(I42, - L42*0.25),
    J42&lt;&gt;"", EDATE(J42, - L42*0.75),
    K42&lt;&gt;"", EDATE(K42, -((L42*0.75)+3)),
    TRUE, ""
)</f>
        <v/>
      </c>
      <c r="O42" s="45" t="str" cm="1">
        <f t="array" ref="O42">_xlfn.IFS(
    I42&lt;&gt;"", I42,
    COUNT(H42,J42)=2, (H42 + (DATEDIF(H42,J42,"d")*0.33)),
    COUNT(H42,K42)=2, (H42 + ((DATEDIF(H42,K42,"d")-90)*0.33)),
    COUNT(G42,J42)=2, (G42 +  DATEDIF(G42,J42,"d")*0.5),
    COUNT(G42,K42)=2, (G42 + (DATEDIF(G42,K42,"d")-90)*0.5),
    G42&lt;&gt;"", EDATE(G42, + L42*0.5),
    H42&lt;&gt;"", EDATE(H42, + L42*0.25),
    J42&lt;&gt;"", EDATE(J42, - L42*0.5),
    K42&lt;&gt;"", EDATE(K42, -((L42*0.5)+3)),
    TRUE, ""
)</f>
        <v/>
      </c>
      <c r="P42" s="45" t="str" cm="1">
        <f t="array" ref="P42">_xlfn.IFS(
    J42&lt;&gt;"", J42,
    K42&lt;&gt;"", EDATE(K42, -3),
    G42&lt;&gt;"", EDATE(G42, + L42),
    H42&lt;&gt;"", EDATE(H42, + L42*0.75),
    I42&lt;&gt;"", EDATE(I42, H L42*0.5),
    TRUE, ""
)</f>
        <v/>
      </c>
      <c r="Q42" s="45" t="str" cm="1">
        <f t="array" ref="Q42">_xlfn.IFS(
    K42&lt;&gt;"",K42,
    J42&lt;&gt;"",EDATE(J42,3),
    P42&lt;&gt;"",EDATE(P42,3),
    TRUE,""
)</f>
        <v/>
      </c>
    </row>
    <row r="43" spans="1:17" x14ac:dyDescent="0.3">
      <c r="A43" t="str">
        <f>IF(AND(Projects!A52="", Projects!B52=""), "", IF(Projects!A52="", "Unassigned", Projects!A52))</f>
        <v/>
      </c>
      <c r="B43" t="str">
        <f>IF(Projects!B52&lt;&gt;"",Projects!B52,"")</f>
        <v/>
      </c>
      <c r="C43" t="str">
        <f>IF(AND(Projects!C52="", Projects!B52=""), "", IF(Projects!C52="", "None", Projects!C52))</f>
        <v/>
      </c>
      <c r="D43" t="str">
        <f>IF(AND(Projects!D52="", Projects!B52=""), "", IF(Projects!D52="", "No OpCo", Projects!D52))</f>
        <v/>
      </c>
      <c r="E43" t="str">
        <f>IF(Projects!E52&lt;&gt;"",Projects!E52,"")</f>
        <v/>
      </c>
      <c r="F43" t="str">
        <f>IF(Projects!F52&lt;&gt;"",Projects!F52,"")</f>
        <v/>
      </c>
      <c r="G43" s="45" t="str">
        <f>IF(Projects!G52&lt;&gt;"",Projects!G52,"")</f>
        <v/>
      </c>
      <c r="H43" s="45" t="str">
        <f>IF(Projects!H52&lt;&gt;"",Projects!H52,"")</f>
        <v/>
      </c>
      <c r="I43" s="45" t="str">
        <f>IF(Projects!I52&lt;&gt;"",Projects!I52,"")</f>
        <v/>
      </c>
      <c r="J43" s="45" t="str">
        <f>IF(Projects!J52&lt;&gt;"",Projects!J52,"")</f>
        <v/>
      </c>
      <c r="K43" s="45" t="str">
        <f>IF(Projects!K52&lt;&gt;"",Projects!K52,"")</f>
        <v/>
      </c>
      <c r="L43" t="str">
        <f>IF(AND(Projects!E52&lt;&gt;"", Projects!F52&lt;&gt;""),
INDEX('Duration Table'!$D$7:$H$17,MATCH(Projects!E52,'Duration Table'!$C$7:$C$17,0),MATCH(Projects!F52,'Duration Table'!$D$6:$H$6)),
   ""
)</f>
        <v/>
      </c>
      <c r="M43" s="45" t="str" cm="1">
        <f t="array" ref="M43">_xlfn.IFS(
    G43&lt;&gt;"",G43,
    H43&lt;&gt;"",EDATE(H43,-0.25*L43),
    N43&lt;&gt;"",EDATE(N43,-0.25*L43),
    TRUE,""
)</f>
        <v/>
      </c>
      <c r="N43" s="45" t="str" cm="1">
        <f t="array" ref="N43">_xlfn.IFS(
    H43&lt;&gt;"", H43,
    COUNT(G43,I43)=2, (G43 + (DATEDIF(G43,I43,"d")*0.5)),
    COUNT(G43,J43)=2, (G43 + (DATEDIF(G43,J43,"d")*0.25)),
    COUNT(G43,K43)=2, (G43 + ((DATEDIF(G43,K43,"d")-90)*0.25)),
    COUNT(I43,J43)=2, (I43 -(DATEDIF(I43,J43,"d")*0.5)),
    COUNT(I43,K43)=2, (I43 -((DATEDIF(I43,K43,"d")-90)*0.5)),
    G43&lt;&gt;"", EDATE(G43, + L43*0.25),
    I43&lt;&gt;"", EDATE(I43, - L43*0.25),
    J43&lt;&gt;"", EDATE(J43, - L43*0.75),
    K43&lt;&gt;"", EDATE(K43, -((L43*0.75)+3)),
    TRUE, ""
)</f>
        <v/>
      </c>
      <c r="O43" s="45" t="str" cm="1">
        <f t="array" ref="O43">_xlfn.IFS(
    I43&lt;&gt;"", I43,
    COUNT(H43,J43)=2, (H43 + (DATEDIF(H43,J43,"d")*0.33)),
    COUNT(H43,K43)=2, (H43 + ((DATEDIF(H43,K43,"d")-90)*0.33)),
    COUNT(G43,J43)=2, (G43 +  DATEDIF(G43,J43,"d")*0.5),
    COUNT(G43,K43)=2, (G43 + (DATEDIF(G43,K43,"d")-90)*0.5),
    G43&lt;&gt;"", EDATE(G43, + L43*0.5),
    H43&lt;&gt;"", EDATE(H43, + L43*0.25),
    J43&lt;&gt;"", EDATE(J43, - L43*0.5),
    K43&lt;&gt;"", EDATE(K43, -((L43*0.5)+3)),
    TRUE, ""
)</f>
        <v/>
      </c>
      <c r="P43" s="45" t="str" cm="1">
        <f t="array" ref="P43">_xlfn.IFS(
    J43&lt;&gt;"", J43,
    K43&lt;&gt;"", EDATE(K43, -3),
    G43&lt;&gt;"", EDATE(G43, + L43),
    H43&lt;&gt;"", EDATE(H43, + L43*0.75),
    I43&lt;&gt;"", EDATE(I43, H L43*0.5),
    TRUE, ""
)</f>
        <v/>
      </c>
      <c r="Q43" s="45" t="str" cm="1">
        <f t="array" ref="Q43">_xlfn.IFS(
    K43&lt;&gt;"",K43,
    J43&lt;&gt;"",EDATE(J43,3),
    P43&lt;&gt;"",EDATE(P43,3),
    TRUE,""
)</f>
        <v/>
      </c>
    </row>
    <row r="44" spans="1:17" x14ac:dyDescent="0.3">
      <c r="A44" t="str">
        <f>IF(AND(Projects!A53="", Projects!B53=""), "", IF(Projects!A53="", "Unassigned", Projects!A53))</f>
        <v/>
      </c>
      <c r="B44" t="str">
        <f>IF(Projects!B53&lt;&gt;"",Projects!B53,"")</f>
        <v/>
      </c>
      <c r="C44" t="str">
        <f>IF(AND(Projects!C53="", Projects!B53=""), "", IF(Projects!C53="", "None", Projects!C53))</f>
        <v/>
      </c>
      <c r="D44" t="str">
        <f>IF(AND(Projects!D53="", Projects!B53=""), "", IF(Projects!D53="", "No OpCo", Projects!D53))</f>
        <v/>
      </c>
      <c r="E44" t="str">
        <f>IF(Projects!E53&lt;&gt;"",Projects!E53,"")</f>
        <v/>
      </c>
      <c r="F44" t="str">
        <f>IF(Projects!F53&lt;&gt;"",Projects!F53,"")</f>
        <v/>
      </c>
      <c r="G44" s="45" t="str">
        <f>IF(Projects!G53&lt;&gt;"",Projects!G53,"")</f>
        <v/>
      </c>
      <c r="H44" s="45" t="str">
        <f>IF(Projects!H53&lt;&gt;"",Projects!H53,"")</f>
        <v/>
      </c>
      <c r="I44" s="45" t="str">
        <f>IF(Projects!I53&lt;&gt;"",Projects!I53,"")</f>
        <v/>
      </c>
      <c r="J44" s="45" t="str">
        <f>IF(Projects!J53&lt;&gt;"",Projects!J53,"")</f>
        <v/>
      </c>
      <c r="K44" s="45" t="str">
        <f>IF(Projects!K53&lt;&gt;"",Projects!K53,"")</f>
        <v/>
      </c>
      <c r="L44" t="str">
        <f>IF(AND(Projects!E53&lt;&gt;"", Projects!F53&lt;&gt;""),
INDEX('Duration Table'!$D$7:$H$17,MATCH(Projects!E53,'Duration Table'!$C$7:$C$17,0),MATCH(Projects!F53,'Duration Table'!$D$6:$H$6)),
   ""
)</f>
        <v/>
      </c>
      <c r="M44" s="45" t="str" cm="1">
        <f t="array" ref="M44">_xlfn.IFS(
    G44&lt;&gt;"",G44,
    H44&lt;&gt;"",EDATE(H44,-0.25*L44),
    N44&lt;&gt;"",EDATE(N44,-0.25*L44),
    TRUE,""
)</f>
        <v/>
      </c>
      <c r="N44" s="45" t="str" cm="1">
        <f t="array" ref="N44">_xlfn.IFS(
    H44&lt;&gt;"", H44,
    COUNT(G44,I44)=2, (G44 + (DATEDIF(G44,I44,"d")*0.5)),
    COUNT(G44,J44)=2, (G44 + (DATEDIF(G44,J44,"d")*0.25)),
    COUNT(G44,K44)=2, (G44 + ((DATEDIF(G44,K44,"d")-90)*0.25)),
    COUNT(I44,J44)=2, (I44 -(DATEDIF(I44,J44,"d")*0.5)),
    COUNT(I44,K44)=2, (I44 -((DATEDIF(I44,K44,"d")-90)*0.5)),
    G44&lt;&gt;"", EDATE(G44, + L44*0.25),
    I44&lt;&gt;"", EDATE(I44, - L44*0.25),
    J44&lt;&gt;"", EDATE(J44, - L44*0.75),
    K44&lt;&gt;"", EDATE(K44, -((L44*0.75)+3)),
    TRUE, ""
)</f>
        <v/>
      </c>
      <c r="O44" s="45" t="str" cm="1">
        <f t="array" ref="O44">_xlfn.IFS(
    I44&lt;&gt;"", I44,
    COUNT(H44,J44)=2, (H44 + (DATEDIF(H44,J44,"d")*0.33)),
    COUNT(H44,K44)=2, (H44 + ((DATEDIF(H44,K44,"d")-90)*0.33)),
    COUNT(G44,J44)=2, (G44 +  DATEDIF(G44,J44,"d")*0.5),
    COUNT(G44,K44)=2, (G44 + (DATEDIF(G44,K44,"d")-90)*0.5),
    G44&lt;&gt;"", EDATE(G44, + L44*0.5),
    H44&lt;&gt;"", EDATE(H44, + L44*0.25),
    J44&lt;&gt;"", EDATE(J44, - L44*0.5),
    K44&lt;&gt;"", EDATE(K44, -((L44*0.5)+3)),
    TRUE, ""
)</f>
        <v/>
      </c>
      <c r="P44" s="45" t="str" cm="1">
        <f t="array" ref="P44">_xlfn.IFS(
    J44&lt;&gt;"", J44,
    K44&lt;&gt;"", EDATE(K44, -3),
    G44&lt;&gt;"", EDATE(G44, + L44),
    H44&lt;&gt;"", EDATE(H44, + L44*0.75),
    I44&lt;&gt;"", EDATE(I44, H L44*0.5),
    TRUE, ""
)</f>
        <v/>
      </c>
      <c r="Q44" s="45" t="str" cm="1">
        <f t="array" ref="Q44">_xlfn.IFS(
    K44&lt;&gt;"",K44,
    J44&lt;&gt;"",EDATE(J44,3),
    P44&lt;&gt;"",EDATE(P44,3),
    TRUE,""
)</f>
        <v/>
      </c>
    </row>
    <row r="45" spans="1:17" x14ac:dyDescent="0.3">
      <c r="A45" t="str">
        <f>IF(AND(Projects!A54="", Projects!B54=""), "", IF(Projects!A54="", "Unassigned", Projects!A54))</f>
        <v/>
      </c>
      <c r="B45" t="str">
        <f>IF(Projects!B54&lt;&gt;"",Projects!B54,"")</f>
        <v/>
      </c>
      <c r="C45" t="str">
        <f>IF(AND(Projects!C54="", Projects!B54=""), "", IF(Projects!C54="", "None", Projects!C54))</f>
        <v/>
      </c>
      <c r="D45" t="str">
        <f>IF(AND(Projects!D54="", Projects!B54=""), "", IF(Projects!D54="", "No OpCo", Projects!D54))</f>
        <v/>
      </c>
      <c r="E45" t="str">
        <f>IF(Projects!E54&lt;&gt;"",Projects!E54,"")</f>
        <v/>
      </c>
      <c r="F45" t="str">
        <f>IF(Projects!F54&lt;&gt;"",Projects!F54,"")</f>
        <v/>
      </c>
      <c r="G45" s="45" t="str">
        <f>IF(Projects!G54&lt;&gt;"",Projects!G54,"")</f>
        <v/>
      </c>
      <c r="H45" s="45" t="str">
        <f>IF(Projects!H54&lt;&gt;"",Projects!H54,"")</f>
        <v/>
      </c>
      <c r="I45" s="45" t="str">
        <f>IF(Projects!I54&lt;&gt;"",Projects!I54,"")</f>
        <v/>
      </c>
      <c r="J45" s="45" t="str">
        <f>IF(Projects!J54&lt;&gt;"",Projects!J54,"")</f>
        <v/>
      </c>
      <c r="K45" s="45" t="str">
        <f>IF(Projects!K54&lt;&gt;"",Projects!K54,"")</f>
        <v/>
      </c>
      <c r="L45" t="str">
        <f>IF(AND(Projects!E54&lt;&gt;"", Projects!F54&lt;&gt;""),
INDEX('Duration Table'!$D$7:$H$17,MATCH(Projects!E54,'Duration Table'!$C$7:$C$17,0),MATCH(Projects!F54,'Duration Table'!$D$6:$H$6)),
   ""
)</f>
        <v/>
      </c>
      <c r="M45" s="45" t="str" cm="1">
        <f t="array" ref="M45">_xlfn.IFS(
    G45&lt;&gt;"",G45,
    H45&lt;&gt;"",EDATE(H45,-0.25*L45),
    N45&lt;&gt;"",EDATE(N45,-0.25*L45),
    TRUE,""
)</f>
        <v/>
      </c>
      <c r="N45" s="45" t="str" cm="1">
        <f t="array" ref="N45">_xlfn.IFS(
    H45&lt;&gt;"", H45,
    COUNT(G45,I45)=2, (G45 + (DATEDIF(G45,I45,"d")*0.5)),
    COUNT(G45,J45)=2, (G45 + (DATEDIF(G45,J45,"d")*0.25)),
    COUNT(G45,K45)=2, (G45 + ((DATEDIF(G45,K45,"d")-90)*0.25)),
    COUNT(I45,J45)=2, (I45 -(DATEDIF(I45,J45,"d")*0.5)),
    COUNT(I45,K45)=2, (I45 -((DATEDIF(I45,K45,"d")-90)*0.5)),
    G45&lt;&gt;"", EDATE(G45, + L45*0.25),
    I45&lt;&gt;"", EDATE(I45, - L45*0.25),
    J45&lt;&gt;"", EDATE(J45, - L45*0.75),
    K45&lt;&gt;"", EDATE(K45, -((L45*0.75)+3)),
    TRUE, ""
)</f>
        <v/>
      </c>
      <c r="O45" s="45" t="str" cm="1">
        <f t="array" ref="O45">_xlfn.IFS(
    I45&lt;&gt;"", I45,
    COUNT(H45,J45)=2, (H45 + (DATEDIF(H45,J45,"d")*0.33)),
    COUNT(H45,K45)=2, (H45 + ((DATEDIF(H45,K45,"d")-90)*0.33)),
    COUNT(G45,J45)=2, (G45 +  DATEDIF(G45,J45,"d")*0.5),
    COUNT(G45,K45)=2, (G45 + (DATEDIF(G45,K45,"d")-90)*0.5),
    G45&lt;&gt;"", EDATE(G45, + L45*0.5),
    H45&lt;&gt;"", EDATE(H45, + L45*0.25),
    J45&lt;&gt;"", EDATE(J45, - L45*0.5),
    K45&lt;&gt;"", EDATE(K45, -((L45*0.5)+3)),
    TRUE, ""
)</f>
        <v/>
      </c>
      <c r="P45" s="45" t="str" cm="1">
        <f t="array" ref="P45">_xlfn.IFS(
    J45&lt;&gt;"", J45,
    K45&lt;&gt;"", EDATE(K45, -3),
    G45&lt;&gt;"", EDATE(G45, + L45),
    H45&lt;&gt;"", EDATE(H45, + L45*0.75),
    I45&lt;&gt;"", EDATE(I45, H L45*0.5),
    TRUE, ""
)</f>
        <v/>
      </c>
      <c r="Q45" s="45" t="str" cm="1">
        <f t="array" ref="Q45">_xlfn.IFS(
    K45&lt;&gt;"",K45,
    J45&lt;&gt;"",EDATE(J45,3),
    P45&lt;&gt;"",EDATE(P45,3),
    TRUE,""
)</f>
        <v/>
      </c>
    </row>
    <row r="46" spans="1:17" x14ac:dyDescent="0.3">
      <c r="A46" t="str">
        <f>IF(AND(Projects!A55="", Projects!B55=""), "", IF(Projects!A55="", "Unassigned", Projects!A55))</f>
        <v/>
      </c>
      <c r="B46" t="str">
        <f>IF(Projects!B55&lt;&gt;"",Projects!B55,"")</f>
        <v/>
      </c>
      <c r="C46" t="str">
        <f>IF(AND(Projects!C55="", Projects!B55=""), "", IF(Projects!C55="", "None", Projects!C55))</f>
        <v/>
      </c>
      <c r="D46" t="str">
        <f>IF(AND(Projects!D55="", Projects!B55=""), "", IF(Projects!D55="", "No OpCo", Projects!D55))</f>
        <v/>
      </c>
      <c r="E46" t="str">
        <f>IF(Projects!E55&lt;&gt;"",Projects!E55,"")</f>
        <v/>
      </c>
      <c r="F46" t="str">
        <f>IF(Projects!F55&lt;&gt;"",Projects!F55,"")</f>
        <v/>
      </c>
      <c r="G46" s="45" t="str">
        <f>IF(Projects!G55&lt;&gt;"",Projects!G55,"")</f>
        <v/>
      </c>
      <c r="H46" s="45" t="str">
        <f>IF(Projects!H55&lt;&gt;"",Projects!H55,"")</f>
        <v/>
      </c>
      <c r="I46" s="45" t="str">
        <f>IF(Projects!I55&lt;&gt;"",Projects!I55,"")</f>
        <v/>
      </c>
      <c r="J46" s="45" t="str">
        <f>IF(Projects!J55&lt;&gt;"",Projects!J55,"")</f>
        <v/>
      </c>
      <c r="K46" s="45" t="str">
        <f>IF(Projects!K55&lt;&gt;"",Projects!K55,"")</f>
        <v/>
      </c>
      <c r="L46" t="str">
        <f>IF(AND(Projects!E55&lt;&gt;"", Projects!F55&lt;&gt;""),
INDEX('Duration Table'!$D$7:$H$17,MATCH(Projects!E55,'Duration Table'!$C$7:$C$17,0),MATCH(Projects!F55,'Duration Table'!$D$6:$H$6)),
   ""
)</f>
        <v/>
      </c>
      <c r="M46" s="45" t="str" cm="1">
        <f t="array" ref="M46">_xlfn.IFS(
    G46&lt;&gt;"",G46,
    H46&lt;&gt;"",EDATE(H46,-0.25*L46),
    N46&lt;&gt;"",EDATE(N46,-0.25*L46),
    TRUE,""
)</f>
        <v/>
      </c>
      <c r="N46" s="45" t="str" cm="1">
        <f t="array" ref="N46">_xlfn.IFS(
    H46&lt;&gt;"", H46,
    COUNT(G46,I46)=2, (G46 + (DATEDIF(G46,I46,"d")*0.5)),
    COUNT(G46,J46)=2, (G46 + (DATEDIF(G46,J46,"d")*0.25)),
    COUNT(G46,K46)=2, (G46 + ((DATEDIF(G46,K46,"d")-90)*0.25)),
    COUNT(I46,J46)=2, (I46 -(DATEDIF(I46,J46,"d")*0.5)),
    COUNT(I46,K46)=2, (I46 -((DATEDIF(I46,K46,"d")-90)*0.5)),
    G46&lt;&gt;"", EDATE(G46, + L46*0.25),
    I46&lt;&gt;"", EDATE(I46, - L46*0.25),
    J46&lt;&gt;"", EDATE(J46, - L46*0.75),
    K46&lt;&gt;"", EDATE(K46, -((L46*0.75)+3)),
    TRUE, ""
)</f>
        <v/>
      </c>
      <c r="O46" s="45" t="str" cm="1">
        <f t="array" ref="O46">_xlfn.IFS(
    I46&lt;&gt;"", I46,
    COUNT(H46,J46)=2, (H46 + (DATEDIF(H46,J46,"d")*0.33)),
    COUNT(H46,K46)=2, (H46 + ((DATEDIF(H46,K46,"d")-90)*0.33)),
    COUNT(G46,J46)=2, (G46 +  DATEDIF(G46,J46,"d")*0.5),
    COUNT(G46,K46)=2, (G46 + (DATEDIF(G46,K46,"d")-90)*0.5),
    G46&lt;&gt;"", EDATE(G46, + L46*0.5),
    H46&lt;&gt;"", EDATE(H46, + L46*0.25),
    J46&lt;&gt;"", EDATE(J46, - L46*0.5),
    K46&lt;&gt;"", EDATE(K46, -((L46*0.5)+3)),
    TRUE, ""
)</f>
        <v/>
      </c>
      <c r="P46" s="45" t="str" cm="1">
        <f t="array" ref="P46">_xlfn.IFS(
    J46&lt;&gt;"", J46,
    K46&lt;&gt;"", EDATE(K46, -3),
    G46&lt;&gt;"", EDATE(G46, + L46),
    H46&lt;&gt;"", EDATE(H46, + L46*0.75),
    I46&lt;&gt;"", EDATE(I46, H L46*0.5),
    TRUE, ""
)</f>
        <v/>
      </c>
      <c r="Q46" s="45" t="str" cm="1">
        <f t="array" ref="Q46">_xlfn.IFS(
    K46&lt;&gt;"",K46,
    J46&lt;&gt;"",EDATE(J46,3),
    P46&lt;&gt;"",EDATE(P46,3),
    TRUE,""
)</f>
        <v/>
      </c>
    </row>
    <row r="47" spans="1:17" x14ac:dyDescent="0.3">
      <c r="A47" t="str">
        <f>IF(AND(Projects!A56="", Projects!B56=""), "", IF(Projects!A56="", "Unassigned", Projects!A56))</f>
        <v/>
      </c>
      <c r="B47" t="str">
        <f>IF(Projects!B56&lt;&gt;"",Projects!B56,"")</f>
        <v/>
      </c>
      <c r="C47" t="str">
        <f>IF(AND(Projects!C56="", Projects!B56=""), "", IF(Projects!C56="", "None", Projects!C56))</f>
        <v/>
      </c>
      <c r="D47" t="str">
        <f>IF(AND(Projects!D56="", Projects!B56=""), "", IF(Projects!D56="", "No OpCo", Projects!D56))</f>
        <v/>
      </c>
      <c r="E47" t="str">
        <f>IF(Projects!E56&lt;&gt;"",Projects!E56,"")</f>
        <v/>
      </c>
      <c r="F47" t="str">
        <f>IF(Projects!F56&lt;&gt;"",Projects!F56,"")</f>
        <v/>
      </c>
      <c r="G47" s="45" t="str">
        <f>IF(Projects!G56&lt;&gt;"",Projects!G56,"")</f>
        <v/>
      </c>
      <c r="H47" s="45" t="str">
        <f>IF(Projects!H56&lt;&gt;"",Projects!H56,"")</f>
        <v/>
      </c>
      <c r="I47" s="45" t="str">
        <f>IF(Projects!I56&lt;&gt;"",Projects!I56,"")</f>
        <v/>
      </c>
      <c r="J47" s="45" t="str">
        <f>IF(Projects!J56&lt;&gt;"",Projects!J56,"")</f>
        <v/>
      </c>
      <c r="K47" s="45" t="str">
        <f>IF(Projects!K56&lt;&gt;"",Projects!K56,"")</f>
        <v/>
      </c>
      <c r="L47" t="str">
        <f>IF(AND(Projects!E56&lt;&gt;"", Projects!F56&lt;&gt;""),
INDEX('Duration Table'!$D$7:$H$17,MATCH(Projects!E56,'Duration Table'!$C$7:$C$17,0),MATCH(Projects!F56,'Duration Table'!$D$6:$H$6)),
   ""
)</f>
        <v/>
      </c>
      <c r="M47" s="45" t="str" cm="1">
        <f t="array" ref="M47">_xlfn.IFS(
    G47&lt;&gt;"",G47,
    H47&lt;&gt;"",EDATE(H47,-0.25*L47),
    N47&lt;&gt;"",EDATE(N47,-0.25*L47),
    TRUE,""
)</f>
        <v/>
      </c>
      <c r="N47" s="45" t="str" cm="1">
        <f t="array" ref="N47">_xlfn.IFS(
    H47&lt;&gt;"", H47,
    COUNT(G47,I47)=2, (G47 + (DATEDIF(G47,I47,"d")*0.5)),
    COUNT(G47,J47)=2, (G47 + (DATEDIF(G47,J47,"d")*0.25)),
    COUNT(G47,K47)=2, (G47 + ((DATEDIF(G47,K47,"d")-90)*0.25)),
    COUNT(I47,J47)=2, (I47 -(DATEDIF(I47,J47,"d")*0.5)),
    COUNT(I47,K47)=2, (I47 -((DATEDIF(I47,K47,"d")-90)*0.5)),
    G47&lt;&gt;"", EDATE(G47, + L47*0.25),
    I47&lt;&gt;"", EDATE(I47, - L47*0.25),
    J47&lt;&gt;"", EDATE(J47, - L47*0.75),
    K47&lt;&gt;"", EDATE(K47, -((L47*0.75)+3)),
    TRUE, ""
)</f>
        <v/>
      </c>
      <c r="O47" s="45" t="str" cm="1">
        <f t="array" ref="O47">_xlfn.IFS(
    I47&lt;&gt;"", I47,
    COUNT(H47,J47)=2, (H47 + (DATEDIF(H47,J47,"d")*0.33)),
    COUNT(H47,K47)=2, (H47 + ((DATEDIF(H47,K47,"d")-90)*0.33)),
    COUNT(G47,J47)=2, (G47 +  DATEDIF(G47,J47,"d")*0.5),
    COUNT(G47,K47)=2, (G47 + (DATEDIF(G47,K47,"d")-90)*0.5),
    G47&lt;&gt;"", EDATE(G47, + L47*0.5),
    H47&lt;&gt;"", EDATE(H47, + L47*0.25),
    J47&lt;&gt;"", EDATE(J47, - L47*0.5),
    K47&lt;&gt;"", EDATE(K47, -((L47*0.5)+3)),
    TRUE, ""
)</f>
        <v/>
      </c>
      <c r="P47" s="45" t="str" cm="1">
        <f t="array" ref="P47">_xlfn.IFS(
    J47&lt;&gt;"", J47,
    K47&lt;&gt;"", EDATE(K47, -3),
    G47&lt;&gt;"", EDATE(G47, + L47),
    H47&lt;&gt;"", EDATE(H47, + L47*0.75),
    I47&lt;&gt;"", EDATE(I47, H L47*0.5),
    TRUE, ""
)</f>
        <v/>
      </c>
      <c r="Q47" s="45" t="str" cm="1">
        <f t="array" ref="Q47">_xlfn.IFS(
    K47&lt;&gt;"",K47,
    J47&lt;&gt;"",EDATE(J47,3),
    P47&lt;&gt;"",EDATE(P47,3),
    TRUE,""
)</f>
        <v/>
      </c>
    </row>
    <row r="48" spans="1:17" x14ac:dyDescent="0.3">
      <c r="A48" t="str">
        <f>IF(AND(Projects!A57="", Projects!B57=""), "", IF(Projects!A57="", "Unassigned", Projects!A57))</f>
        <v/>
      </c>
      <c r="B48" t="str">
        <f>IF(Projects!B57&lt;&gt;"",Projects!B57,"")</f>
        <v/>
      </c>
      <c r="C48" t="str">
        <f>IF(AND(Projects!C57="", Projects!B57=""), "", IF(Projects!C57="", "None", Projects!C57))</f>
        <v/>
      </c>
      <c r="D48" t="str">
        <f>IF(AND(Projects!D57="", Projects!B57=""), "", IF(Projects!D57="", "No OpCo", Projects!D57))</f>
        <v/>
      </c>
      <c r="E48" t="str">
        <f>IF(Projects!E57&lt;&gt;"",Projects!E57,"")</f>
        <v/>
      </c>
      <c r="F48" t="str">
        <f>IF(Projects!F57&lt;&gt;"",Projects!F57,"")</f>
        <v/>
      </c>
      <c r="G48" s="45" t="str">
        <f>IF(Projects!G57&lt;&gt;"",Projects!G57,"")</f>
        <v/>
      </c>
      <c r="H48" s="45" t="str">
        <f>IF(Projects!H57&lt;&gt;"",Projects!H57,"")</f>
        <v/>
      </c>
      <c r="I48" s="45" t="str">
        <f>IF(Projects!I57&lt;&gt;"",Projects!I57,"")</f>
        <v/>
      </c>
      <c r="J48" s="45" t="str">
        <f>IF(Projects!J57&lt;&gt;"",Projects!J57,"")</f>
        <v/>
      </c>
      <c r="K48" s="45" t="str">
        <f>IF(Projects!K57&lt;&gt;"",Projects!K57,"")</f>
        <v/>
      </c>
      <c r="L48" t="str">
        <f>IF(AND(Projects!E57&lt;&gt;"", Projects!F57&lt;&gt;""),
INDEX('Duration Table'!$D$7:$H$17,MATCH(Projects!E57,'Duration Table'!$C$7:$C$17,0),MATCH(Projects!F57,'Duration Table'!$D$6:$H$6)),
   ""
)</f>
        <v/>
      </c>
      <c r="M48" s="45" t="str" cm="1">
        <f t="array" ref="M48">_xlfn.IFS(
    G48&lt;&gt;"",G48,
    H48&lt;&gt;"",EDATE(H48,-0.25*L48),
    N48&lt;&gt;"",EDATE(N48,-0.25*L48),
    TRUE,""
)</f>
        <v/>
      </c>
      <c r="N48" s="45" t="str" cm="1">
        <f t="array" ref="N48">_xlfn.IFS(
    H48&lt;&gt;"", H48,
    COUNT(G48,I48)=2, (G48 + (DATEDIF(G48,I48,"d")*0.5)),
    COUNT(G48,J48)=2, (G48 + (DATEDIF(G48,J48,"d")*0.25)),
    COUNT(G48,K48)=2, (G48 + ((DATEDIF(G48,K48,"d")-90)*0.25)),
    COUNT(I48,J48)=2, (I48 -(DATEDIF(I48,J48,"d")*0.5)),
    COUNT(I48,K48)=2, (I48 -((DATEDIF(I48,K48,"d")-90)*0.5)),
    G48&lt;&gt;"", EDATE(G48, + L48*0.25),
    I48&lt;&gt;"", EDATE(I48, - L48*0.25),
    J48&lt;&gt;"", EDATE(J48, - L48*0.75),
    K48&lt;&gt;"", EDATE(K48, -((L48*0.75)+3)),
    TRUE, ""
)</f>
        <v/>
      </c>
      <c r="O48" s="45" t="str" cm="1">
        <f t="array" ref="O48">_xlfn.IFS(
    I48&lt;&gt;"", I48,
    COUNT(H48,J48)=2, (H48 + (DATEDIF(H48,J48,"d")*0.33)),
    COUNT(H48,K48)=2, (H48 + ((DATEDIF(H48,K48,"d")-90)*0.33)),
    COUNT(G48,J48)=2, (G48 +  DATEDIF(G48,J48,"d")*0.5),
    COUNT(G48,K48)=2, (G48 + (DATEDIF(G48,K48,"d")-90)*0.5),
    G48&lt;&gt;"", EDATE(G48, + L48*0.5),
    H48&lt;&gt;"", EDATE(H48, + L48*0.25),
    J48&lt;&gt;"", EDATE(J48, - L48*0.5),
    K48&lt;&gt;"", EDATE(K48, -((L48*0.5)+3)),
    TRUE, ""
)</f>
        <v/>
      </c>
      <c r="P48" s="45" t="str" cm="1">
        <f t="array" ref="P48">_xlfn.IFS(
    J48&lt;&gt;"", J48,
    K48&lt;&gt;"", EDATE(K48, -3),
    G48&lt;&gt;"", EDATE(G48, + L48),
    H48&lt;&gt;"", EDATE(H48, + L48*0.75),
    I48&lt;&gt;"", EDATE(I48, H L48*0.5),
    TRUE, ""
)</f>
        <v/>
      </c>
      <c r="Q48" s="45" t="str" cm="1">
        <f t="array" ref="Q48">_xlfn.IFS(
    K48&lt;&gt;"",K48,
    J48&lt;&gt;"",EDATE(J48,3),
    P48&lt;&gt;"",EDATE(P48,3),
    TRUE,""
)</f>
        <v/>
      </c>
    </row>
    <row r="49" spans="1:17" x14ac:dyDescent="0.3">
      <c r="A49" t="str">
        <f>IF(AND(Projects!A58="", Projects!B58=""), "", IF(Projects!A58="", "Unassigned", Projects!A58))</f>
        <v/>
      </c>
      <c r="B49" t="str">
        <f>IF(Projects!B58&lt;&gt;"",Projects!B58,"")</f>
        <v/>
      </c>
      <c r="C49" t="str">
        <f>IF(AND(Projects!C58="", Projects!B58=""), "", IF(Projects!C58="", "None", Projects!C58))</f>
        <v/>
      </c>
      <c r="D49" t="str">
        <f>IF(AND(Projects!D58="", Projects!B58=""), "", IF(Projects!D58="", "No OpCo", Projects!D58))</f>
        <v/>
      </c>
      <c r="E49" t="str">
        <f>IF(Projects!E58&lt;&gt;"",Projects!E58,"")</f>
        <v/>
      </c>
      <c r="F49" t="str">
        <f>IF(Projects!F58&lt;&gt;"",Projects!F58,"")</f>
        <v/>
      </c>
      <c r="G49" s="45" t="str">
        <f>IF(Projects!G58&lt;&gt;"",Projects!G58,"")</f>
        <v/>
      </c>
      <c r="H49" s="45" t="str">
        <f>IF(Projects!H58&lt;&gt;"",Projects!H58,"")</f>
        <v/>
      </c>
      <c r="I49" s="45" t="str">
        <f>IF(Projects!I58&lt;&gt;"",Projects!I58,"")</f>
        <v/>
      </c>
      <c r="J49" s="45" t="str">
        <f>IF(Projects!J58&lt;&gt;"",Projects!J58,"")</f>
        <v/>
      </c>
      <c r="K49" s="45" t="str">
        <f>IF(Projects!K58&lt;&gt;"",Projects!K58,"")</f>
        <v/>
      </c>
      <c r="L49" t="str">
        <f>IF(AND(Projects!E58&lt;&gt;"", Projects!F58&lt;&gt;""),
INDEX('Duration Table'!$D$7:$H$17,MATCH(Projects!E58,'Duration Table'!$C$7:$C$17,0),MATCH(Projects!F58,'Duration Table'!$D$6:$H$6)),
   ""
)</f>
        <v/>
      </c>
      <c r="M49" s="45" t="str" cm="1">
        <f t="array" ref="M49">_xlfn.IFS(
    G49&lt;&gt;"",G49,
    H49&lt;&gt;"",EDATE(H49,-0.25*L49),
    N49&lt;&gt;"",EDATE(N49,-0.25*L49),
    TRUE,""
)</f>
        <v/>
      </c>
      <c r="N49" s="45" t="str" cm="1">
        <f t="array" ref="N49">_xlfn.IFS(
    H49&lt;&gt;"", H49,
    COUNT(G49,I49)=2, (G49 + (DATEDIF(G49,I49,"d")*0.5)),
    COUNT(G49,J49)=2, (G49 + (DATEDIF(G49,J49,"d")*0.25)),
    COUNT(G49,K49)=2, (G49 + ((DATEDIF(G49,K49,"d")-90)*0.25)),
    COUNT(I49,J49)=2, (I49 -(DATEDIF(I49,J49,"d")*0.5)),
    COUNT(I49,K49)=2, (I49 -((DATEDIF(I49,K49,"d")-90)*0.5)),
    G49&lt;&gt;"", EDATE(G49, + L49*0.25),
    I49&lt;&gt;"", EDATE(I49, - L49*0.25),
    J49&lt;&gt;"", EDATE(J49, - L49*0.75),
    K49&lt;&gt;"", EDATE(K49, -((L49*0.75)+3)),
    TRUE, ""
)</f>
        <v/>
      </c>
      <c r="O49" s="45" t="str" cm="1">
        <f t="array" ref="O49">_xlfn.IFS(
    I49&lt;&gt;"", I49,
    COUNT(H49,J49)=2, (H49 + (DATEDIF(H49,J49,"d")*0.33)),
    COUNT(H49,K49)=2, (H49 + ((DATEDIF(H49,K49,"d")-90)*0.33)),
    COUNT(G49,J49)=2, (G49 +  DATEDIF(G49,J49,"d")*0.5),
    COUNT(G49,K49)=2, (G49 + (DATEDIF(G49,K49,"d")-90)*0.5),
    G49&lt;&gt;"", EDATE(G49, + L49*0.5),
    H49&lt;&gt;"", EDATE(H49, + L49*0.25),
    J49&lt;&gt;"", EDATE(J49, - L49*0.5),
    K49&lt;&gt;"", EDATE(K49, -((L49*0.5)+3)),
    TRUE, ""
)</f>
        <v/>
      </c>
      <c r="P49" s="45" t="str" cm="1">
        <f t="array" ref="P49">_xlfn.IFS(
    J49&lt;&gt;"", J49,
    K49&lt;&gt;"", EDATE(K49, -3),
    G49&lt;&gt;"", EDATE(G49, + L49),
    H49&lt;&gt;"", EDATE(H49, + L49*0.75),
    I49&lt;&gt;"", EDATE(I49, H L49*0.5),
    TRUE, ""
)</f>
        <v/>
      </c>
      <c r="Q49" s="45" t="str" cm="1">
        <f t="array" ref="Q49">_xlfn.IFS(
    K49&lt;&gt;"",K49,
    J49&lt;&gt;"",EDATE(J49,3),
    P49&lt;&gt;"",EDATE(P49,3),
    TRUE,""
)</f>
        <v/>
      </c>
    </row>
    <row r="50" spans="1:17" x14ac:dyDescent="0.3">
      <c r="A50" t="str">
        <f>IF(AND(Projects!A59="", Projects!B59=""), "", IF(Projects!A59="", "Unassigned", Projects!A59))</f>
        <v/>
      </c>
      <c r="B50" t="str">
        <f>IF(Projects!B59&lt;&gt;"",Projects!B59,"")</f>
        <v/>
      </c>
      <c r="C50" t="str">
        <f>IF(AND(Projects!C59="", Projects!B59=""), "", IF(Projects!C59="", "None", Projects!C59))</f>
        <v/>
      </c>
      <c r="D50" t="str">
        <f>IF(AND(Projects!D59="", Projects!B59=""), "", IF(Projects!D59="", "No OpCo", Projects!D59))</f>
        <v/>
      </c>
      <c r="E50" t="str">
        <f>IF(Projects!E59&lt;&gt;"",Projects!E59,"")</f>
        <v/>
      </c>
      <c r="F50" t="str">
        <f>IF(Projects!F59&lt;&gt;"",Projects!F59,"")</f>
        <v/>
      </c>
      <c r="G50" s="45" t="str">
        <f>IF(Projects!G59&lt;&gt;"",Projects!G59,"")</f>
        <v/>
      </c>
      <c r="H50" s="45" t="str">
        <f>IF(Projects!H59&lt;&gt;"",Projects!H59,"")</f>
        <v/>
      </c>
      <c r="I50" s="45" t="str">
        <f>IF(Projects!I59&lt;&gt;"",Projects!I59,"")</f>
        <v/>
      </c>
      <c r="J50" s="45" t="str">
        <f>IF(Projects!J59&lt;&gt;"",Projects!J59,"")</f>
        <v/>
      </c>
      <c r="K50" s="45" t="str">
        <f>IF(Projects!K59&lt;&gt;"",Projects!K59,"")</f>
        <v/>
      </c>
      <c r="L50" t="str">
        <f>IF(AND(Projects!E59&lt;&gt;"", Projects!F59&lt;&gt;""),
INDEX('Duration Table'!$D$7:$H$17,MATCH(Projects!E59,'Duration Table'!$C$7:$C$17,0),MATCH(Projects!F59,'Duration Table'!$D$6:$H$6)),
   ""
)</f>
        <v/>
      </c>
      <c r="M50" s="45" t="str" cm="1">
        <f t="array" ref="M50">_xlfn.IFS(
    G50&lt;&gt;"",G50,
    H50&lt;&gt;"",EDATE(H50,-0.25*L50),
    N50&lt;&gt;"",EDATE(N50,-0.25*L50),
    TRUE,""
)</f>
        <v/>
      </c>
      <c r="N50" s="45" t="str" cm="1">
        <f t="array" ref="N50">_xlfn.IFS(
    H50&lt;&gt;"", H50,
    COUNT(G50,I50)=2, (G50 + (DATEDIF(G50,I50,"d")*0.5)),
    COUNT(G50,J50)=2, (G50 + (DATEDIF(G50,J50,"d")*0.25)),
    COUNT(G50,K50)=2, (G50 + ((DATEDIF(G50,K50,"d")-90)*0.25)),
    COUNT(I50,J50)=2, (I50 -(DATEDIF(I50,J50,"d")*0.5)),
    COUNT(I50,K50)=2, (I50 -((DATEDIF(I50,K50,"d")-90)*0.5)),
    G50&lt;&gt;"", EDATE(G50, + L50*0.25),
    I50&lt;&gt;"", EDATE(I50, - L50*0.25),
    J50&lt;&gt;"", EDATE(J50, - L50*0.75),
    K50&lt;&gt;"", EDATE(K50, -((L50*0.75)+3)),
    TRUE, ""
)</f>
        <v/>
      </c>
      <c r="O50" s="45" t="str" cm="1">
        <f t="array" ref="O50">_xlfn.IFS(
    I50&lt;&gt;"", I50,
    COUNT(H50,J50)=2, (H50 + (DATEDIF(H50,J50,"d")*0.33)),
    COUNT(H50,K50)=2, (H50 + ((DATEDIF(H50,K50,"d")-90)*0.33)),
    COUNT(G50,J50)=2, (G50 +  DATEDIF(G50,J50,"d")*0.5),
    COUNT(G50,K50)=2, (G50 + (DATEDIF(G50,K50,"d")-90)*0.5),
    G50&lt;&gt;"", EDATE(G50, + L50*0.5),
    H50&lt;&gt;"", EDATE(H50, + L50*0.25),
    J50&lt;&gt;"", EDATE(J50, - L50*0.5),
    K50&lt;&gt;"", EDATE(K50, -((L50*0.5)+3)),
    TRUE, ""
)</f>
        <v/>
      </c>
      <c r="P50" s="45" t="str" cm="1">
        <f t="array" ref="P50">_xlfn.IFS(
    J50&lt;&gt;"", J50,
    K50&lt;&gt;"", EDATE(K50, -3),
    G50&lt;&gt;"", EDATE(G50, + L50),
    H50&lt;&gt;"", EDATE(H50, + L50*0.75),
    I50&lt;&gt;"", EDATE(I50, H L50*0.5),
    TRUE, ""
)</f>
        <v/>
      </c>
      <c r="Q50" s="45" t="str" cm="1">
        <f t="array" ref="Q50">_xlfn.IFS(
    K50&lt;&gt;"",K50,
    J50&lt;&gt;"",EDATE(J50,3),
    P50&lt;&gt;"",EDATE(P50,3),
    TRUE,""
)</f>
        <v/>
      </c>
    </row>
    <row r="51" spans="1:17" x14ac:dyDescent="0.3">
      <c r="A51" t="str">
        <f>IF(AND(Projects!A60="", Projects!B60=""), "", IF(Projects!A60="", "Unassigned", Projects!A60))</f>
        <v/>
      </c>
      <c r="B51" t="str">
        <f>IF(Projects!B60&lt;&gt;"",Projects!B60,"")</f>
        <v/>
      </c>
      <c r="C51" t="str">
        <f>IF(AND(Projects!C60="", Projects!B60=""), "", IF(Projects!C60="", "None", Projects!C60))</f>
        <v/>
      </c>
      <c r="D51" t="str">
        <f>IF(AND(Projects!D60="", Projects!B60=""), "", IF(Projects!D60="", "No OpCo", Projects!D60))</f>
        <v/>
      </c>
      <c r="E51" t="str">
        <f>IF(Projects!E60&lt;&gt;"",Projects!E60,"")</f>
        <v/>
      </c>
      <c r="F51" t="str">
        <f>IF(Projects!F60&lt;&gt;"",Projects!F60,"")</f>
        <v/>
      </c>
      <c r="G51" s="45" t="str">
        <f>IF(Projects!G60&lt;&gt;"",Projects!G60,"")</f>
        <v/>
      </c>
      <c r="H51" s="45" t="str">
        <f>IF(Projects!H60&lt;&gt;"",Projects!H60,"")</f>
        <v/>
      </c>
      <c r="I51" s="45" t="str">
        <f>IF(Projects!I60&lt;&gt;"",Projects!I60,"")</f>
        <v/>
      </c>
      <c r="J51" s="45" t="str">
        <f>IF(Projects!J60&lt;&gt;"",Projects!J60,"")</f>
        <v/>
      </c>
      <c r="K51" s="45" t="str">
        <f>IF(Projects!K60&lt;&gt;"",Projects!K60,"")</f>
        <v/>
      </c>
      <c r="L51" t="str">
        <f>IF(AND(Projects!E60&lt;&gt;"", Projects!F60&lt;&gt;""),
INDEX('Duration Table'!$D$7:$H$17,MATCH(Projects!E60,'Duration Table'!$C$7:$C$17,0),MATCH(Projects!F60,'Duration Table'!$D$6:$H$6)),
   ""
)</f>
        <v/>
      </c>
      <c r="M51" s="45" t="str" cm="1">
        <f t="array" ref="M51">_xlfn.IFS(
    G51&lt;&gt;"",G51,
    H51&lt;&gt;"",EDATE(H51,-0.25*L51),
    N51&lt;&gt;"",EDATE(N51,-0.25*L51),
    TRUE,""
)</f>
        <v/>
      </c>
      <c r="N51" s="45" t="str" cm="1">
        <f t="array" ref="N51">_xlfn.IFS(
    H51&lt;&gt;"", H51,
    COUNT(G51,I51)=2, (G51 + (DATEDIF(G51,I51,"d")*0.5)),
    COUNT(G51,J51)=2, (G51 + (DATEDIF(G51,J51,"d")*0.25)),
    COUNT(G51,K51)=2, (G51 + ((DATEDIF(G51,K51,"d")-90)*0.25)),
    COUNT(I51,J51)=2, (I51 -(DATEDIF(I51,J51,"d")*0.5)),
    COUNT(I51,K51)=2, (I51 -((DATEDIF(I51,K51,"d")-90)*0.5)),
    G51&lt;&gt;"", EDATE(G51, + L51*0.25),
    I51&lt;&gt;"", EDATE(I51, - L51*0.25),
    J51&lt;&gt;"", EDATE(J51, - L51*0.75),
    K51&lt;&gt;"", EDATE(K51, -((L51*0.75)+3)),
    TRUE, ""
)</f>
        <v/>
      </c>
      <c r="O51" s="45" t="str" cm="1">
        <f t="array" ref="O51">_xlfn.IFS(
    I51&lt;&gt;"", I51,
    COUNT(H51,J51)=2, (H51 + (DATEDIF(H51,J51,"d")*0.33)),
    COUNT(H51,K51)=2, (H51 + ((DATEDIF(H51,K51,"d")-90)*0.33)),
    COUNT(G51,J51)=2, (G51 +  DATEDIF(G51,J51,"d")*0.5),
    COUNT(G51,K51)=2, (G51 + (DATEDIF(G51,K51,"d")-90)*0.5),
    G51&lt;&gt;"", EDATE(G51, + L51*0.5),
    H51&lt;&gt;"", EDATE(H51, + L51*0.25),
    J51&lt;&gt;"", EDATE(J51, - L51*0.5),
    K51&lt;&gt;"", EDATE(K51, -((L51*0.5)+3)),
    TRUE, ""
)</f>
        <v/>
      </c>
      <c r="P51" s="45" t="str" cm="1">
        <f t="array" ref="P51">_xlfn.IFS(
    J51&lt;&gt;"", J51,
    K51&lt;&gt;"", EDATE(K51, -3),
    G51&lt;&gt;"", EDATE(G51, + L51),
    H51&lt;&gt;"", EDATE(H51, + L51*0.75),
    I51&lt;&gt;"", EDATE(I51, H L51*0.5),
    TRUE, ""
)</f>
        <v/>
      </c>
      <c r="Q51" s="45" t="str" cm="1">
        <f t="array" ref="Q51">_xlfn.IFS(
    K51&lt;&gt;"",K51,
    J51&lt;&gt;"",EDATE(J51,3),
    P51&lt;&gt;"",EDATE(P51,3),
    TRUE,""
)</f>
        <v/>
      </c>
    </row>
    <row r="52" spans="1:17" x14ac:dyDescent="0.3">
      <c r="A52" t="str">
        <f>IF(AND(Projects!A61="", Projects!B61=""), "", IF(Projects!A61="", "Unassigned", Projects!A61))</f>
        <v/>
      </c>
      <c r="B52" t="str">
        <f>IF(Projects!B61&lt;&gt;"",Projects!B61,"")</f>
        <v/>
      </c>
      <c r="C52" t="str">
        <f>IF(AND(Projects!C61="", Projects!B61=""), "", IF(Projects!C61="", "None", Projects!C61))</f>
        <v/>
      </c>
      <c r="D52" t="str">
        <f>IF(AND(Projects!D61="", Projects!B61=""), "", IF(Projects!D61="", "No OpCo", Projects!D61))</f>
        <v/>
      </c>
      <c r="E52" t="str">
        <f>IF(Projects!E61&lt;&gt;"",Projects!E61,"")</f>
        <v/>
      </c>
      <c r="F52" t="str">
        <f>IF(Projects!F61&lt;&gt;"",Projects!F61,"")</f>
        <v/>
      </c>
      <c r="G52" s="45" t="str">
        <f>IF(Projects!G61&lt;&gt;"",Projects!G61,"")</f>
        <v/>
      </c>
      <c r="H52" s="45" t="str">
        <f>IF(Projects!H61&lt;&gt;"",Projects!H61,"")</f>
        <v/>
      </c>
      <c r="I52" s="45" t="str">
        <f>IF(Projects!I61&lt;&gt;"",Projects!I61,"")</f>
        <v/>
      </c>
      <c r="J52" s="45" t="str">
        <f>IF(Projects!J61&lt;&gt;"",Projects!J61,"")</f>
        <v/>
      </c>
      <c r="K52" s="45" t="str">
        <f>IF(Projects!K61&lt;&gt;"",Projects!K61,"")</f>
        <v/>
      </c>
      <c r="L52" t="str">
        <f>IF(AND(Projects!E61&lt;&gt;"", Projects!F61&lt;&gt;""),
INDEX('Duration Table'!$D$7:$H$17,MATCH(Projects!E61,'Duration Table'!$C$7:$C$17,0),MATCH(Projects!F61,'Duration Table'!$D$6:$H$6)),
   ""
)</f>
        <v/>
      </c>
      <c r="M52" s="45" t="str" cm="1">
        <f t="array" ref="M52">_xlfn.IFS(
    G52&lt;&gt;"",G52,
    H52&lt;&gt;"",EDATE(H52,-0.25*L52),
    N52&lt;&gt;"",EDATE(N52,-0.25*L52),
    TRUE,""
)</f>
        <v/>
      </c>
      <c r="N52" s="45" t="str" cm="1">
        <f t="array" ref="N52">_xlfn.IFS(
    H52&lt;&gt;"", H52,
    COUNT(G52,I52)=2, (G52 + (DATEDIF(G52,I52,"d")*0.5)),
    COUNT(G52,J52)=2, (G52 + (DATEDIF(G52,J52,"d")*0.25)),
    COUNT(G52,K52)=2, (G52 + ((DATEDIF(G52,K52,"d")-90)*0.25)),
    COUNT(I52,J52)=2, (I52 -(DATEDIF(I52,J52,"d")*0.5)),
    COUNT(I52,K52)=2, (I52 -((DATEDIF(I52,K52,"d")-90)*0.5)),
    G52&lt;&gt;"", EDATE(G52, + L52*0.25),
    I52&lt;&gt;"", EDATE(I52, - L52*0.25),
    J52&lt;&gt;"", EDATE(J52, - L52*0.75),
    K52&lt;&gt;"", EDATE(K52, -((L52*0.75)+3)),
    TRUE, ""
)</f>
        <v/>
      </c>
      <c r="O52" s="45" t="str" cm="1">
        <f t="array" ref="O52">_xlfn.IFS(
    I52&lt;&gt;"", I52,
    COUNT(H52,J52)=2, (H52 + (DATEDIF(H52,J52,"d")*0.33)),
    COUNT(H52,K52)=2, (H52 + ((DATEDIF(H52,K52,"d")-90)*0.33)),
    COUNT(G52,J52)=2, (G52 +  DATEDIF(G52,J52,"d")*0.5),
    COUNT(G52,K52)=2, (G52 + (DATEDIF(G52,K52,"d")-90)*0.5),
    G52&lt;&gt;"", EDATE(G52, + L52*0.5),
    H52&lt;&gt;"", EDATE(H52, + L52*0.25),
    J52&lt;&gt;"", EDATE(J52, - L52*0.5),
    K52&lt;&gt;"", EDATE(K52, -((L52*0.5)+3)),
    TRUE, ""
)</f>
        <v/>
      </c>
      <c r="P52" s="45" t="str" cm="1">
        <f t="array" ref="P52">_xlfn.IFS(
    J52&lt;&gt;"", J52,
    K52&lt;&gt;"", EDATE(K52, -3),
    G52&lt;&gt;"", EDATE(G52, + L52),
    H52&lt;&gt;"", EDATE(H52, + L52*0.75),
    I52&lt;&gt;"", EDATE(I52, H L52*0.5),
    TRUE, ""
)</f>
        <v/>
      </c>
      <c r="Q52" s="45" t="str" cm="1">
        <f t="array" ref="Q52">_xlfn.IFS(
    K52&lt;&gt;"",K52,
    J52&lt;&gt;"",EDATE(J52,3),
    P52&lt;&gt;"",EDATE(P52,3),
    TRUE,""
)</f>
        <v/>
      </c>
    </row>
    <row r="53" spans="1:17" x14ac:dyDescent="0.3">
      <c r="A53" t="str">
        <f>IF(AND(Projects!A62="", Projects!B62=""), "", IF(Projects!A62="", "Unassigned", Projects!A62))</f>
        <v/>
      </c>
      <c r="B53" t="str">
        <f>IF(Projects!B62&lt;&gt;"",Projects!B62,"")</f>
        <v/>
      </c>
      <c r="C53" t="str">
        <f>IF(AND(Projects!C62="", Projects!B62=""), "", IF(Projects!C62="", "None", Projects!C62))</f>
        <v/>
      </c>
      <c r="D53" t="str">
        <f>IF(AND(Projects!D62="", Projects!B62=""), "", IF(Projects!D62="", "No OpCo", Projects!D62))</f>
        <v/>
      </c>
      <c r="E53" t="str">
        <f>IF(Projects!E62&lt;&gt;"",Projects!E62,"")</f>
        <v/>
      </c>
      <c r="F53" t="str">
        <f>IF(Projects!F62&lt;&gt;"",Projects!F62,"")</f>
        <v/>
      </c>
      <c r="G53" s="45" t="str">
        <f>IF(Projects!G62&lt;&gt;"",Projects!G62,"")</f>
        <v/>
      </c>
      <c r="H53" s="45" t="str">
        <f>IF(Projects!H62&lt;&gt;"",Projects!H62,"")</f>
        <v/>
      </c>
      <c r="I53" s="45" t="str">
        <f>IF(Projects!I62&lt;&gt;"",Projects!I62,"")</f>
        <v/>
      </c>
      <c r="J53" s="45" t="str">
        <f>IF(Projects!J62&lt;&gt;"",Projects!J62,"")</f>
        <v/>
      </c>
      <c r="K53" s="45" t="str">
        <f>IF(Projects!K62&lt;&gt;"",Projects!K62,"")</f>
        <v/>
      </c>
      <c r="L53" t="str">
        <f>IF(AND(Projects!E62&lt;&gt;"", Projects!F62&lt;&gt;""),
INDEX('Duration Table'!$D$7:$H$17,MATCH(Projects!E62,'Duration Table'!$C$7:$C$17,0),MATCH(Projects!F62,'Duration Table'!$D$6:$H$6)),
   ""
)</f>
        <v/>
      </c>
      <c r="M53" s="45" t="str" cm="1">
        <f t="array" ref="M53">_xlfn.IFS(
    G53&lt;&gt;"",G53,
    H53&lt;&gt;"",EDATE(H53,-0.25*L53),
    N53&lt;&gt;"",EDATE(N53,-0.25*L53),
    TRUE,""
)</f>
        <v/>
      </c>
      <c r="N53" s="45" t="str" cm="1">
        <f t="array" ref="N53">_xlfn.IFS(
    H53&lt;&gt;"", H53,
    COUNT(G53,I53)=2, (G53 + (DATEDIF(G53,I53,"d")*0.5)),
    COUNT(G53,J53)=2, (G53 + (DATEDIF(G53,J53,"d")*0.25)),
    COUNT(G53,K53)=2, (G53 + ((DATEDIF(G53,K53,"d")-90)*0.25)),
    COUNT(I53,J53)=2, (I53 -(DATEDIF(I53,J53,"d")*0.5)),
    COUNT(I53,K53)=2, (I53 -((DATEDIF(I53,K53,"d")-90)*0.5)),
    G53&lt;&gt;"", EDATE(G53, + L53*0.25),
    I53&lt;&gt;"", EDATE(I53, - L53*0.25),
    J53&lt;&gt;"", EDATE(J53, - L53*0.75),
    K53&lt;&gt;"", EDATE(K53, -((L53*0.75)+3)),
    TRUE, ""
)</f>
        <v/>
      </c>
      <c r="O53" s="45" t="str" cm="1">
        <f t="array" ref="O53">_xlfn.IFS(
    I53&lt;&gt;"", I53,
    COUNT(H53,J53)=2, (H53 + (DATEDIF(H53,J53,"d")*0.33)),
    COUNT(H53,K53)=2, (H53 + ((DATEDIF(H53,K53,"d")-90)*0.33)),
    COUNT(G53,J53)=2, (G53 +  DATEDIF(G53,J53,"d")*0.5),
    COUNT(G53,K53)=2, (G53 + (DATEDIF(G53,K53,"d")-90)*0.5),
    G53&lt;&gt;"", EDATE(G53, + L53*0.5),
    H53&lt;&gt;"", EDATE(H53, + L53*0.25),
    J53&lt;&gt;"", EDATE(J53, - L53*0.5),
    K53&lt;&gt;"", EDATE(K53, -((L53*0.5)+3)),
    TRUE, ""
)</f>
        <v/>
      </c>
      <c r="P53" s="45" t="str" cm="1">
        <f t="array" ref="P53">_xlfn.IFS(
    J53&lt;&gt;"", J53,
    K53&lt;&gt;"", EDATE(K53, -3),
    G53&lt;&gt;"", EDATE(G53, + L53),
    H53&lt;&gt;"", EDATE(H53, + L53*0.75),
    I53&lt;&gt;"", EDATE(I53, H L53*0.5),
    TRUE, ""
)</f>
        <v/>
      </c>
      <c r="Q53" s="45" t="str" cm="1">
        <f t="array" ref="Q53">_xlfn.IFS(
    K53&lt;&gt;"",K53,
    J53&lt;&gt;"",EDATE(J53,3),
    P53&lt;&gt;"",EDATE(P53,3),
    TRUE,""
)</f>
        <v/>
      </c>
    </row>
    <row r="54" spans="1:17" x14ac:dyDescent="0.3">
      <c r="A54" t="str">
        <f>IF(AND(Projects!A63="", Projects!B63=""), "", IF(Projects!A63="", "Unassigned", Projects!A63))</f>
        <v/>
      </c>
      <c r="B54" t="str">
        <f>IF(Projects!B63&lt;&gt;"",Projects!B63,"")</f>
        <v/>
      </c>
      <c r="C54" t="str">
        <f>IF(AND(Projects!C63="", Projects!B63=""), "", IF(Projects!C63="", "None", Projects!C63))</f>
        <v/>
      </c>
      <c r="D54" t="str">
        <f>IF(AND(Projects!D63="", Projects!B63=""), "", IF(Projects!D63="", "No OpCo", Projects!D63))</f>
        <v/>
      </c>
      <c r="E54" t="str">
        <f>IF(Projects!E63&lt;&gt;"",Projects!E63,"")</f>
        <v/>
      </c>
      <c r="F54" t="str">
        <f>IF(Projects!F63&lt;&gt;"",Projects!F63,"")</f>
        <v/>
      </c>
      <c r="G54" s="45" t="str">
        <f>IF(Projects!G63&lt;&gt;"",Projects!G63,"")</f>
        <v/>
      </c>
      <c r="H54" s="45" t="str">
        <f>IF(Projects!H63&lt;&gt;"",Projects!H63,"")</f>
        <v/>
      </c>
      <c r="I54" s="45" t="str">
        <f>IF(Projects!I63&lt;&gt;"",Projects!I63,"")</f>
        <v/>
      </c>
      <c r="J54" s="45" t="str">
        <f>IF(Projects!J63&lt;&gt;"",Projects!J63,"")</f>
        <v/>
      </c>
      <c r="K54" s="45" t="str">
        <f>IF(Projects!K63&lt;&gt;"",Projects!K63,"")</f>
        <v/>
      </c>
      <c r="L54" t="str">
        <f>IF(AND(Projects!E63&lt;&gt;"", Projects!F63&lt;&gt;""),
INDEX('Duration Table'!$D$7:$H$17,MATCH(Projects!E63,'Duration Table'!$C$7:$C$17,0),MATCH(Projects!F63,'Duration Table'!$D$6:$H$6)),
   ""
)</f>
        <v/>
      </c>
      <c r="M54" s="45" t="str" cm="1">
        <f t="array" ref="M54">_xlfn.IFS(
    G54&lt;&gt;"",G54,
    H54&lt;&gt;"",EDATE(H54,-0.25*L54),
    N54&lt;&gt;"",EDATE(N54,-0.25*L54),
    TRUE,""
)</f>
        <v/>
      </c>
      <c r="N54" s="45" t="str" cm="1">
        <f t="array" ref="N54">_xlfn.IFS(
    H54&lt;&gt;"", H54,
    COUNT(G54,I54)=2, (G54 + (DATEDIF(G54,I54,"d")*0.5)),
    COUNT(G54,J54)=2, (G54 + (DATEDIF(G54,J54,"d")*0.25)),
    COUNT(G54,K54)=2, (G54 + ((DATEDIF(G54,K54,"d")-90)*0.25)),
    COUNT(I54,J54)=2, (I54 -(DATEDIF(I54,J54,"d")*0.5)),
    COUNT(I54,K54)=2, (I54 -((DATEDIF(I54,K54,"d")-90)*0.5)),
    G54&lt;&gt;"", EDATE(G54, + L54*0.25),
    I54&lt;&gt;"", EDATE(I54, - L54*0.25),
    J54&lt;&gt;"", EDATE(J54, - L54*0.75),
    K54&lt;&gt;"", EDATE(K54, -((L54*0.75)+3)),
    TRUE, ""
)</f>
        <v/>
      </c>
      <c r="O54" s="45" t="str" cm="1">
        <f t="array" ref="O54">_xlfn.IFS(
    I54&lt;&gt;"", I54,
    COUNT(H54,J54)=2, (H54 + (DATEDIF(H54,J54,"d")*0.33)),
    COUNT(H54,K54)=2, (H54 + ((DATEDIF(H54,K54,"d")-90)*0.33)),
    COUNT(G54,J54)=2, (G54 +  DATEDIF(G54,J54,"d")*0.5),
    COUNT(G54,K54)=2, (G54 + (DATEDIF(G54,K54,"d")-90)*0.5),
    G54&lt;&gt;"", EDATE(G54, + L54*0.5),
    H54&lt;&gt;"", EDATE(H54, + L54*0.25),
    J54&lt;&gt;"", EDATE(J54, - L54*0.5),
    K54&lt;&gt;"", EDATE(K54, -((L54*0.5)+3)),
    TRUE, ""
)</f>
        <v/>
      </c>
      <c r="P54" s="45" t="str" cm="1">
        <f t="array" ref="P54">_xlfn.IFS(
    J54&lt;&gt;"", J54,
    K54&lt;&gt;"", EDATE(K54, -3),
    G54&lt;&gt;"", EDATE(G54, + L54),
    H54&lt;&gt;"", EDATE(H54, + L54*0.75),
    I54&lt;&gt;"", EDATE(I54, H L54*0.5),
    TRUE, ""
)</f>
        <v/>
      </c>
      <c r="Q54" s="45" t="str" cm="1">
        <f t="array" ref="Q54">_xlfn.IFS(
    K54&lt;&gt;"",K54,
    J54&lt;&gt;"",EDATE(J54,3),
    P54&lt;&gt;"",EDATE(P54,3),
    TRUE,""
)</f>
        <v/>
      </c>
    </row>
    <row r="55" spans="1:17" x14ac:dyDescent="0.3">
      <c r="A55" t="str">
        <f>IF(AND(Projects!A64="", Projects!B64=""), "", IF(Projects!A64="", "Unassigned", Projects!A64))</f>
        <v/>
      </c>
      <c r="B55" t="str">
        <f>IF(Projects!B64&lt;&gt;"",Projects!B64,"")</f>
        <v/>
      </c>
      <c r="C55" t="str">
        <f>IF(AND(Projects!C64="", Projects!B64=""), "", IF(Projects!C64="", "None", Projects!C64))</f>
        <v/>
      </c>
      <c r="D55" t="str">
        <f>IF(AND(Projects!D64="", Projects!B64=""), "", IF(Projects!D64="", "No OpCo", Projects!D64))</f>
        <v/>
      </c>
      <c r="E55" t="str">
        <f>IF(Projects!E64&lt;&gt;"",Projects!E64,"")</f>
        <v/>
      </c>
      <c r="F55" t="str">
        <f>IF(Projects!F64&lt;&gt;"",Projects!F64,"")</f>
        <v/>
      </c>
      <c r="G55" s="45" t="str">
        <f>IF(Projects!G64&lt;&gt;"",Projects!G64,"")</f>
        <v/>
      </c>
      <c r="H55" s="45" t="str">
        <f>IF(Projects!H64&lt;&gt;"",Projects!H64,"")</f>
        <v/>
      </c>
      <c r="I55" s="45" t="str">
        <f>IF(Projects!I64&lt;&gt;"",Projects!I64,"")</f>
        <v/>
      </c>
      <c r="J55" s="45" t="str">
        <f>IF(Projects!J64&lt;&gt;"",Projects!J64,"")</f>
        <v/>
      </c>
      <c r="K55" s="45" t="str">
        <f>IF(Projects!K64&lt;&gt;"",Projects!K64,"")</f>
        <v/>
      </c>
      <c r="L55" t="str">
        <f>IF(AND(Projects!E64&lt;&gt;"", Projects!F64&lt;&gt;""),
INDEX('Duration Table'!$D$7:$H$17,MATCH(Projects!E64,'Duration Table'!$C$7:$C$17,0),MATCH(Projects!F64,'Duration Table'!$D$6:$H$6)),
   ""
)</f>
        <v/>
      </c>
      <c r="M55" s="45" t="str" cm="1">
        <f t="array" ref="M55">_xlfn.IFS(
    G55&lt;&gt;"",G55,
    H55&lt;&gt;"",EDATE(H55,-0.25*L55),
    N55&lt;&gt;"",EDATE(N55,-0.25*L55),
    TRUE,""
)</f>
        <v/>
      </c>
      <c r="N55" s="45" t="str" cm="1">
        <f t="array" ref="N55">_xlfn.IFS(
    H55&lt;&gt;"", H55,
    COUNT(G55,I55)=2, (G55 + (DATEDIF(G55,I55,"d")*0.5)),
    COUNT(G55,J55)=2, (G55 + (DATEDIF(G55,J55,"d")*0.25)),
    COUNT(G55,K55)=2, (G55 + ((DATEDIF(G55,K55,"d")-90)*0.25)),
    COUNT(I55,J55)=2, (I55 -(DATEDIF(I55,J55,"d")*0.5)),
    COUNT(I55,K55)=2, (I55 -((DATEDIF(I55,K55,"d")-90)*0.5)),
    G55&lt;&gt;"", EDATE(G55, + L55*0.25),
    I55&lt;&gt;"", EDATE(I55, - L55*0.25),
    J55&lt;&gt;"", EDATE(J55, - L55*0.75),
    K55&lt;&gt;"", EDATE(K55, -((L55*0.75)+3)),
    TRUE, ""
)</f>
        <v/>
      </c>
      <c r="O55" s="45" t="str" cm="1">
        <f t="array" ref="O55">_xlfn.IFS(
    I55&lt;&gt;"", I55,
    COUNT(H55,J55)=2, (H55 + (DATEDIF(H55,J55,"d")*0.33)),
    COUNT(H55,K55)=2, (H55 + ((DATEDIF(H55,K55,"d")-90)*0.33)),
    COUNT(G55,J55)=2, (G55 +  DATEDIF(G55,J55,"d")*0.5),
    COUNT(G55,K55)=2, (G55 + (DATEDIF(G55,K55,"d")-90)*0.5),
    G55&lt;&gt;"", EDATE(G55, + L55*0.5),
    H55&lt;&gt;"", EDATE(H55, + L55*0.25),
    J55&lt;&gt;"", EDATE(J55, - L55*0.5),
    K55&lt;&gt;"", EDATE(K55, -((L55*0.5)+3)),
    TRUE, ""
)</f>
        <v/>
      </c>
      <c r="P55" s="45" t="str" cm="1">
        <f t="array" ref="P55">_xlfn.IFS(
    J55&lt;&gt;"", J55,
    K55&lt;&gt;"", EDATE(K55, -3),
    G55&lt;&gt;"", EDATE(G55, + L55),
    H55&lt;&gt;"", EDATE(H55, + L55*0.75),
    I55&lt;&gt;"", EDATE(I55, H L55*0.5),
    TRUE, ""
)</f>
        <v/>
      </c>
      <c r="Q55" s="45" t="str" cm="1">
        <f t="array" ref="Q55">_xlfn.IFS(
    K55&lt;&gt;"",K55,
    J55&lt;&gt;"",EDATE(J55,3),
    P55&lt;&gt;"",EDATE(P55,3),
    TRUE,""
)</f>
        <v/>
      </c>
    </row>
    <row r="56" spans="1:17" x14ac:dyDescent="0.3">
      <c r="A56" t="str">
        <f>IF(AND(Projects!A65="", Projects!B65=""), "", IF(Projects!A65="", "Unassigned", Projects!A65))</f>
        <v/>
      </c>
      <c r="B56" t="str">
        <f>IF(Projects!B65&lt;&gt;"",Projects!B65,"")</f>
        <v/>
      </c>
      <c r="C56" t="str">
        <f>IF(AND(Projects!C65="", Projects!B65=""), "", IF(Projects!C65="", "None", Projects!C65))</f>
        <v/>
      </c>
      <c r="D56" t="str">
        <f>IF(AND(Projects!D65="", Projects!B65=""), "", IF(Projects!D65="", "No OpCo", Projects!D65))</f>
        <v/>
      </c>
      <c r="E56" t="str">
        <f>IF(Projects!E65&lt;&gt;"",Projects!E65,"")</f>
        <v/>
      </c>
      <c r="F56" t="str">
        <f>IF(Projects!F65&lt;&gt;"",Projects!F65,"")</f>
        <v/>
      </c>
      <c r="G56" s="45" t="str">
        <f>IF(Projects!G65&lt;&gt;"",Projects!G65,"")</f>
        <v/>
      </c>
      <c r="H56" s="45" t="str">
        <f>IF(Projects!H65&lt;&gt;"",Projects!H65,"")</f>
        <v/>
      </c>
      <c r="I56" s="45" t="str">
        <f>IF(Projects!I65&lt;&gt;"",Projects!I65,"")</f>
        <v/>
      </c>
      <c r="J56" s="45" t="str">
        <f>IF(Projects!J65&lt;&gt;"",Projects!J65,"")</f>
        <v/>
      </c>
      <c r="K56" s="45" t="str">
        <f>IF(Projects!K65&lt;&gt;"",Projects!K65,"")</f>
        <v/>
      </c>
      <c r="L56" t="str">
        <f>IF(AND(Projects!E65&lt;&gt;"", Projects!F65&lt;&gt;""),
INDEX('Duration Table'!$D$7:$H$17,MATCH(Projects!E65,'Duration Table'!$C$7:$C$17,0),MATCH(Projects!F65,'Duration Table'!$D$6:$H$6)),
   ""
)</f>
        <v/>
      </c>
      <c r="M56" s="45" t="str" cm="1">
        <f t="array" ref="M56">_xlfn.IFS(
    G56&lt;&gt;"",G56,
    H56&lt;&gt;"",EDATE(H56,-0.25*L56),
    N56&lt;&gt;"",EDATE(N56,-0.25*L56),
    TRUE,""
)</f>
        <v/>
      </c>
      <c r="N56" s="45" t="str" cm="1">
        <f t="array" ref="N56">_xlfn.IFS(
    H56&lt;&gt;"", H56,
    COUNT(G56,I56)=2, (G56 + (DATEDIF(G56,I56,"d")*0.5)),
    COUNT(G56,J56)=2, (G56 + (DATEDIF(G56,J56,"d")*0.25)),
    COUNT(G56,K56)=2, (G56 + ((DATEDIF(G56,K56,"d")-90)*0.25)),
    COUNT(I56,J56)=2, (I56 -(DATEDIF(I56,J56,"d")*0.5)),
    COUNT(I56,K56)=2, (I56 -((DATEDIF(I56,K56,"d")-90)*0.5)),
    G56&lt;&gt;"", EDATE(G56, + L56*0.25),
    I56&lt;&gt;"", EDATE(I56, - L56*0.25),
    J56&lt;&gt;"", EDATE(J56, - L56*0.75),
    K56&lt;&gt;"", EDATE(K56, -((L56*0.75)+3)),
    TRUE, ""
)</f>
        <v/>
      </c>
      <c r="O56" s="45" t="str" cm="1">
        <f t="array" ref="O56">_xlfn.IFS(
    I56&lt;&gt;"", I56,
    COUNT(H56,J56)=2, (H56 + (DATEDIF(H56,J56,"d")*0.33)),
    COUNT(H56,K56)=2, (H56 + ((DATEDIF(H56,K56,"d")-90)*0.33)),
    COUNT(G56,J56)=2, (G56 +  DATEDIF(G56,J56,"d")*0.5),
    COUNT(G56,K56)=2, (G56 + (DATEDIF(G56,K56,"d")-90)*0.5),
    G56&lt;&gt;"", EDATE(G56, + L56*0.5),
    H56&lt;&gt;"", EDATE(H56, + L56*0.25),
    J56&lt;&gt;"", EDATE(J56, - L56*0.5),
    K56&lt;&gt;"", EDATE(K56, -((L56*0.5)+3)),
    TRUE, ""
)</f>
        <v/>
      </c>
      <c r="P56" s="45" t="str" cm="1">
        <f t="array" ref="P56">_xlfn.IFS(
    J56&lt;&gt;"", J56,
    K56&lt;&gt;"", EDATE(K56, -3),
    G56&lt;&gt;"", EDATE(G56, + L56),
    H56&lt;&gt;"", EDATE(H56, + L56*0.75),
    I56&lt;&gt;"", EDATE(I56, H L56*0.5),
    TRUE, ""
)</f>
        <v/>
      </c>
      <c r="Q56" s="45" t="str" cm="1">
        <f t="array" ref="Q56">_xlfn.IFS(
    K56&lt;&gt;"",K56,
    J56&lt;&gt;"",EDATE(J56,3),
    P56&lt;&gt;"",EDATE(P56,3),
    TRUE,""
)</f>
        <v/>
      </c>
    </row>
    <row r="57" spans="1:17" x14ac:dyDescent="0.3">
      <c r="A57" t="str">
        <f>IF(AND(Projects!A66="", Projects!B66=""), "", IF(Projects!A66="", "Unassigned", Projects!A66))</f>
        <v/>
      </c>
      <c r="B57" t="str">
        <f>IF(Projects!B66&lt;&gt;"",Projects!B66,"")</f>
        <v/>
      </c>
      <c r="C57" t="str">
        <f>IF(AND(Projects!C66="", Projects!B66=""), "", IF(Projects!C66="", "None", Projects!C66))</f>
        <v/>
      </c>
      <c r="D57" t="str">
        <f>IF(AND(Projects!D66="", Projects!B66=""), "", IF(Projects!D66="", "No OpCo", Projects!D66))</f>
        <v/>
      </c>
      <c r="E57" t="str">
        <f>IF(Projects!E66&lt;&gt;"",Projects!E66,"")</f>
        <v/>
      </c>
      <c r="F57" t="str">
        <f>IF(Projects!F66&lt;&gt;"",Projects!F66,"")</f>
        <v/>
      </c>
      <c r="G57" s="45" t="str">
        <f>IF(Projects!G66&lt;&gt;"",Projects!G66,"")</f>
        <v/>
      </c>
      <c r="H57" s="45" t="str">
        <f>IF(Projects!H66&lt;&gt;"",Projects!H66,"")</f>
        <v/>
      </c>
      <c r="I57" s="45" t="str">
        <f>IF(Projects!I66&lt;&gt;"",Projects!I66,"")</f>
        <v/>
      </c>
      <c r="J57" s="45" t="str">
        <f>IF(Projects!J66&lt;&gt;"",Projects!J66,"")</f>
        <v/>
      </c>
      <c r="K57" s="45" t="str">
        <f>IF(Projects!K66&lt;&gt;"",Projects!K66,"")</f>
        <v/>
      </c>
      <c r="L57" t="str">
        <f>IF(AND(Projects!E66&lt;&gt;"", Projects!F66&lt;&gt;""),
INDEX('Duration Table'!$D$7:$H$17,MATCH(Projects!E66,'Duration Table'!$C$7:$C$17,0),MATCH(Projects!F66,'Duration Table'!$D$6:$H$6)),
   ""
)</f>
        <v/>
      </c>
      <c r="M57" s="45" t="str" cm="1">
        <f t="array" ref="M57">_xlfn.IFS(
    G57&lt;&gt;"",G57,
    H57&lt;&gt;"",EDATE(H57,-0.25*L57),
    N57&lt;&gt;"",EDATE(N57,-0.25*L57),
    TRUE,""
)</f>
        <v/>
      </c>
      <c r="N57" s="45" t="str" cm="1">
        <f t="array" ref="N57">_xlfn.IFS(
    H57&lt;&gt;"", H57,
    COUNT(G57,I57)=2, (G57 + (DATEDIF(G57,I57,"d")*0.5)),
    COUNT(G57,J57)=2, (G57 + (DATEDIF(G57,J57,"d")*0.25)),
    COUNT(G57,K57)=2, (G57 + ((DATEDIF(G57,K57,"d")-90)*0.25)),
    COUNT(I57,J57)=2, (I57 -(DATEDIF(I57,J57,"d")*0.5)),
    COUNT(I57,K57)=2, (I57 -((DATEDIF(I57,K57,"d")-90)*0.5)),
    G57&lt;&gt;"", EDATE(G57, + L57*0.25),
    I57&lt;&gt;"", EDATE(I57, - L57*0.25),
    J57&lt;&gt;"", EDATE(J57, - L57*0.75),
    K57&lt;&gt;"", EDATE(K57, -((L57*0.75)+3)),
    TRUE, ""
)</f>
        <v/>
      </c>
      <c r="O57" s="45" t="str" cm="1">
        <f t="array" ref="O57">_xlfn.IFS(
    I57&lt;&gt;"", I57,
    COUNT(H57,J57)=2, (H57 + (DATEDIF(H57,J57,"d")*0.33)),
    COUNT(H57,K57)=2, (H57 + ((DATEDIF(H57,K57,"d")-90)*0.33)),
    COUNT(G57,J57)=2, (G57 +  DATEDIF(G57,J57,"d")*0.5),
    COUNT(G57,K57)=2, (G57 + (DATEDIF(G57,K57,"d")-90)*0.5),
    G57&lt;&gt;"", EDATE(G57, + L57*0.5),
    H57&lt;&gt;"", EDATE(H57, + L57*0.25),
    J57&lt;&gt;"", EDATE(J57, - L57*0.5),
    K57&lt;&gt;"", EDATE(K57, -((L57*0.5)+3)),
    TRUE, ""
)</f>
        <v/>
      </c>
      <c r="P57" s="45" t="str" cm="1">
        <f t="array" ref="P57">_xlfn.IFS(
    J57&lt;&gt;"", J57,
    K57&lt;&gt;"", EDATE(K57, -3),
    G57&lt;&gt;"", EDATE(G57, + L57),
    H57&lt;&gt;"", EDATE(H57, + L57*0.75),
    I57&lt;&gt;"", EDATE(I57, H L57*0.5),
    TRUE, ""
)</f>
        <v/>
      </c>
      <c r="Q57" s="45" t="str" cm="1">
        <f t="array" ref="Q57">_xlfn.IFS(
    K57&lt;&gt;"",K57,
    J57&lt;&gt;"",EDATE(J57,3),
    P57&lt;&gt;"",EDATE(P57,3),
    TRUE,""
)</f>
        <v/>
      </c>
    </row>
    <row r="58" spans="1:17" x14ac:dyDescent="0.3">
      <c r="A58" t="str">
        <f>IF(AND(Projects!A67="", Projects!B67=""), "", IF(Projects!A67="", "Unassigned", Projects!A67))</f>
        <v/>
      </c>
      <c r="B58" t="str">
        <f>IF(Projects!B67&lt;&gt;"",Projects!B67,"")</f>
        <v/>
      </c>
      <c r="C58" t="str">
        <f>IF(AND(Projects!C67="", Projects!B67=""), "", IF(Projects!C67="", "None", Projects!C67))</f>
        <v/>
      </c>
      <c r="D58" t="str">
        <f>IF(AND(Projects!D67="", Projects!B67=""), "", IF(Projects!D67="", "No OpCo", Projects!D67))</f>
        <v/>
      </c>
      <c r="E58" t="str">
        <f>IF(Projects!E67&lt;&gt;"",Projects!E67,"")</f>
        <v/>
      </c>
      <c r="F58" t="str">
        <f>IF(Projects!F67&lt;&gt;"",Projects!F67,"")</f>
        <v/>
      </c>
      <c r="G58" s="45" t="str">
        <f>IF(Projects!G67&lt;&gt;"",Projects!G67,"")</f>
        <v/>
      </c>
      <c r="H58" s="45" t="str">
        <f>IF(Projects!H67&lt;&gt;"",Projects!H67,"")</f>
        <v/>
      </c>
      <c r="I58" s="45" t="str">
        <f>IF(Projects!I67&lt;&gt;"",Projects!I67,"")</f>
        <v/>
      </c>
      <c r="J58" s="45" t="str">
        <f>IF(Projects!J67&lt;&gt;"",Projects!J67,"")</f>
        <v/>
      </c>
      <c r="K58" s="45" t="str">
        <f>IF(Projects!K67&lt;&gt;"",Projects!K67,"")</f>
        <v/>
      </c>
      <c r="L58" t="str">
        <f>IF(AND(Projects!E67&lt;&gt;"", Projects!F67&lt;&gt;""),
INDEX('Duration Table'!$D$7:$H$17,MATCH(Projects!E67,'Duration Table'!$C$7:$C$17,0),MATCH(Projects!F67,'Duration Table'!$D$6:$H$6)),
   ""
)</f>
        <v/>
      </c>
      <c r="M58" s="45" t="str" cm="1">
        <f t="array" ref="M58">_xlfn.IFS(
    G58&lt;&gt;"",G58,
    H58&lt;&gt;"",EDATE(H58,-0.25*L58),
    N58&lt;&gt;"",EDATE(N58,-0.25*L58),
    TRUE,""
)</f>
        <v/>
      </c>
      <c r="N58" s="45" t="str" cm="1">
        <f t="array" ref="N58">_xlfn.IFS(
    H58&lt;&gt;"", H58,
    COUNT(G58,I58)=2, (G58 + (DATEDIF(G58,I58,"d")*0.5)),
    COUNT(G58,J58)=2, (G58 + (DATEDIF(G58,J58,"d")*0.25)),
    COUNT(G58,K58)=2, (G58 + ((DATEDIF(G58,K58,"d")-90)*0.25)),
    COUNT(I58,J58)=2, (I58 -(DATEDIF(I58,J58,"d")*0.5)),
    COUNT(I58,K58)=2, (I58 -((DATEDIF(I58,K58,"d")-90)*0.5)),
    G58&lt;&gt;"", EDATE(G58, + L58*0.25),
    I58&lt;&gt;"", EDATE(I58, - L58*0.25),
    J58&lt;&gt;"", EDATE(J58, - L58*0.75),
    K58&lt;&gt;"", EDATE(K58, -((L58*0.75)+3)),
    TRUE, ""
)</f>
        <v/>
      </c>
      <c r="O58" s="45" t="str" cm="1">
        <f t="array" ref="O58">_xlfn.IFS(
    I58&lt;&gt;"", I58,
    COUNT(H58,J58)=2, (H58 + (DATEDIF(H58,J58,"d")*0.33)),
    COUNT(H58,K58)=2, (H58 + ((DATEDIF(H58,K58,"d")-90)*0.33)),
    COUNT(G58,J58)=2, (G58 +  DATEDIF(G58,J58,"d")*0.5),
    COUNT(G58,K58)=2, (G58 + (DATEDIF(G58,K58,"d")-90)*0.5),
    G58&lt;&gt;"", EDATE(G58, + L58*0.5),
    H58&lt;&gt;"", EDATE(H58, + L58*0.25),
    J58&lt;&gt;"", EDATE(J58, - L58*0.5),
    K58&lt;&gt;"", EDATE(K58, -((L58*0.5)+3)),
    TRUE, ""
)</f>
        <v/>
      </c>
      <c r="P58" s="45" t="str" cm="1">
        <f t="array" ref="P58">_xlfn.IFS(
    J58&lt;&gt;"", J58,
    K58&lt;&gt;"", EDATE(K58, -3),
    G58&lt;&gt;"", EDATE(G58, + L58),
    H58&lt;&gt;"", EDATE(H58, + L58*0.75),
    I58&lt;&gt;"", EDATE(I58, H L58*0.5),
    TRUE, ""
)</f>
        <v/>
      </c>
      <c r="Q58" s="45" t="str" cm="1">
        <f t="array" ref="Q58">_xlfn.IFS(
    K58&lt;&gt;"",K58,
    J58&lt;&gt;"",EDATE(J58,3),
    P58&lt;&gt;"",EDATE(P58,3),
    TRUE,""
)</f>
        <v/>
      </c>
    </row>
    <row r="59" spans="1:17" x14ac:dyDescent="0.3">
      <c r="A59" t="str">
        <f>IF(AND(Projects!A68="", Projects!B68=""), "", IF(Projects!A68="", "Unassigned", Projects!A68))</f>
        <v/>
      </c>
      <c r="B59" t="str">
        <f>IF(Projects!B68&lt;&gt;"",Projects!B68,"")</f>
        <v/>
      </c>
      <c r="C59" t="str">
        <f>IF(AND(Projects!C68="", Projects!B68=""), "", IF(Projects!C68="", "None", Projects!C68))</f>
        <v/>
      </c>
      <c r="D59" t="str">
        <f>IF(AND(Projects!D68="", Projects!B68=""), "", IF(Projects!D68="", "No OpCo", Projects!D68))</f>
        <v/>
      </c>
      <c r="E59" t="str">
        <f>IF(Projects!E68&lt;&gt;"",Projects!E68,"")</f>
        <v/>
      </c>
      <c r="F59" t="str">
        <f>IF(Projects!F68&lt;&gt;"",Projects!F68,"")</f>
        <v/>
      </c>
      <c r="G59" s="45" t="str">
        <f>IF(Projects!G68&lt;&gt;"",Projects!G68,"")</f>
        <v/>
      </c>
      <c r="H59" s="45" t="str">
        <f>IF(Projects!H68&lt;&gt;"",Projects!H68,"")</f>
        <v/>
      </c>
      <c r="I59" s="45" t="str">
        <f>IF(Projects!I68&lt;&gt;"",Projects!I68,"")</f>
        <v/>
      </c>
      <c r="J59" s="45" t="str">
        <f>IF(Projects!J68&lt;&gt;"",Projects!J68,"")</f>
        <v/>
      </c>
      <c r="K59" s="45" t="str">
        <f>IF(Projects!K68&lt;&gt;"",Projects!K68,"")</f>
        <v/>
      </c>
      <c r="L59" t="str">
        <f>IF(AND(Projects!E68&lt;&gt;"", Projects!F68&lt;&gt;""),
INDEX('Duration Table'!$D$7:$H$17,MATCH(Projects!E68,'Duration Table'!$C$7:$C$17,0),MATCH(Projects!F68,'Duration Table'!$D$6:$H$6)),
   ""
)</f>
        <v/>
      </c>
      <c r="M59" s="45" t="str" cm="1">
        <f t="array" ref="M59">_xlfn.IFS(
    G59&lt;&gt;"",G59,
    H59&lt;&gt;"",EDATE(H59,-0.25*L59),
    N59&lt;&gt;"",EDATE(N59,-0.25*L59),
    TRUE,""
)</f>
        <v/>
      </c>
      <c r="N59" s="45" t="str" cm="1">
        <f t="array" ref="N59">_xlfn.IFS(
    H59&lt;&gt;"", H59,
    COUNT(G59,I59)=2, (G59 + (DATEDIF(G59,I59,"d")*0.5)),
    COUNT(G59,J59)=2, (G59 + (DATEDIF(G59,J59,"d")*0.25)),
    COUNT(G59,K59)=2, (G59 + ((DATEDIF(G59,K59,"d")-90)*0.25)),
    COUNT(I59,J59)=2, (I59 -(DATEDIF(I59,J59,"d")*0.5)),
    COUNT(I59,K59)=2, (I59 -((DATEDIF(I59,K59,"d")-90)*0.5)),
    G59&lt;&gt;"", EDATE(G59, + L59*0.25),
    I59&lt;&gt;"", EDATE(I59, - L59*0.25),
    J59&lt;&gt;"", EDATE(J59, - L59*0.75),
    K59&lt;&gt;"", EDATE(K59, -((L59*0.75)+3)),
    TRUE, ""
)</f>
        <v/>
      </c>
      <c r="O59" s="45" t="str" cm="1">
        <f t="array" ref="O59">_xlfn.IFS(
    I59&lt;&gt;"", I59,
    COUNT(H59,J59)=2, (H59 + (DATEDIF(H59,J59,"d")*0.33)),
    COUNT(H59,K59)=2, (H59 + ((DATEDIF(H59,K59,"d")-90)*0.33)),
    COUNT(G59,J59)=2, (G59 +  DATEDIF(G59,J59,"d")*0.5),
    COUNT(G59,K59)=2, (G59 + (DATEDIF(G59,K59,"d")-90)*0.5),
    G59&lt;&gt;"", EDATE(G59, + L59*0.5),
    H59&lt;&gt;"", EDATE(H59, + L59*0.25),
    J59&lt;&gt;"", EDATE(J59, - L59*0.5),
    K59&lt;&gt;"", EDATE(K59, -((L59*0.5)+3)),
    TRUE, ""
)</f>
        <v/>
      </c>
      <c r="P59" s="45" t="str" cm="1">
        <f t="array" ref="P59">_xlfn.IFS(
    J59&lt;&gt;"", J59,
    K59&lt;&gt;"", EDATE(K59, -3),
    G59&lt;&gt;"", EDATE(G59, + L59),
    H59&lt;&gt;"", EDATE(H59, + L59*0.75),
    I59&lt;&gt;"", EDATE(I59, H L59*0.5),
    TRUE, ""
)</f>
        <v/>
      </c>
      <c r="Q59" s="45" t="str" cm="1">
        <f t="array" ref="Q59">_xlfn.IFS(
    K59&lt;&gt;"",K59,
    J59&lt;&gt;"",EDATE(J59,3),
    P59&lt;&gt;"",EDATE(P59,3),
    TRUE,""
)</f>
        <v/>
      </c>
    </row>
    <row r="60" spans="1:17" x14ac:dyDescent="0.3">
      <c r="A60" t="str">
        <f>IF(AND(Projects!A69="", Projects!B69=""), "", IF(Projects!A69="", "Unassigned", Projects!A69))</f>
        <v/>
      </c>
      <c r="B60" t="str">
        <f>IF(Projects!B69&lt;&gt;"",Projects!B69,"")</f>
        <v/>
      </c>
      <c r="C60" t="str">
        <f>IF(AND(Projects!C69="", Projects!B69=""), "", IF(Projects!C69="", "None", Projects!C69))</f>
        <v/>
      </c>
      <c r="D60" t="str">
        <f>IF(AND(Projects!D69="", Projects!B69=""), "", IF(Projects!D69="", "No OpCo", Projects!D69))</f>
        <v/>
      </c>
      <c r="E60" t="str">
        <f>IF(Projects!E69&lt;&gt;"",Projects!E69,"")</f>
        <v/>
      </c>
      <c r="F60" t="str">
        <f>IF(Projects!F69&lt;&gt;"",Projects!F69,"")</f>
        <v/>
      </c>
      <c r="G60" s="45" t="str">
        <f>IF(Projects!G69&lt;&gt;"",Projects!G69,"")</f>
        <v/>
      </c>
      <c r="H60" s="45" t="str">
        <f>IF(Projects!H69&lt;&gt;"",Projects!H69,"")</f>
        <v/>
      </c>
      <c r="I60" s="45" t="str">
        <f>IF(Projects!I69&lt;&gt;"",Projects!I69,"")</f>
        <v/>
      </c>
      <c r="J60" s="45" t="str">
        <f>IF(Projects!J69&lt;&gt;"",Projects!J69,"")</f>
        <v/>
      </c>
      <c r="K60" s="45" t="str">
        <f>IF(Projects!K69&lt;&gt;"",Projects!K69,"")</f>
        <v/>
      </c>
      <c r="L60" t="str">
        <f>IF(AND(Projects!E69&lt;&gt;"", Projects!F69&lt;&gt;""),
INDEX('Duration Table'!$D$7:$H$17,MATCH(Projects!E69,'Duration Table'!$C$7:$C$17,0),MATCH(Projects!F69,'Duration Table'!$D$6:$H$6)),
   ""
)</f>
        <v/>
      </c>
      <c r="M60" s="45" t="str" cm="1">
        <f t="array" ref="M60">_xlfn.IFS(
    G60&lt;&gt;"",G60,
    H60&lt;&gt;"",EDATE(H60,-0.25*L60),
    N60&lt;&gt;"",EDATE(N60,-0.25*L60),
    TRUE,""
)</f>
        <v/>
      </c>
      <c r="N60" s="45" t="str" cm="1">
        <f t="array" ref="N60">_xlfn.IFS(
    H60&lt;&gt;"", H60,
    COUNT(G60,I60)=2, (G60 + (DATEDIF(G60,I60,"d")*0.5)),
    COUNT(G60,J60)=2, (G60 + (DATEDIF(G60,J60,"d")*0.25)),
    COUNT(G60,K60)=2, (G60 + ((DATEDIF(G60,K60,"d")-90)*0.25)),
    COUNT(I60,J60)=2, (I60 -(DATEDIF(I60,J60,"d")*0.5)),
    COUNT(I60,K60)=2, (I60 -((DATEDIF(I60,K60,"d")-90)*0.5)),
    G60&lt;&gt;"", EDATE(G60, + L60*0.25),
    I60&lt;&gt;"", EDATE(I60, - L60*0.25),
    J60&lt;&gt;"", EDATE(J60, - L60*0.75),
    K60&lt;&gt;"", EDATE(K60, -((L60*0.75)+3)),
    TRUE, ""
)</f>
        <v/>
      </c>
      <c r="O60" s="45" t="str" cm="1">
        <f t="array" ref="O60">_xlfn.IFS(
    I60&lt;&gt;"", I60,
    COUNT(H60,J60)=2, (H60 + (DATEDIF(H60,J60,"d")*0.33)),
    COUNT(H60,K60)=2, (H60 + ((DATEDIF(H60,K60,"d")-90)*0.33)),
    COUNT(G60,J60)=2, (G60 +  DATEDIF(G60,J60,"d")*0.5),
    COUNT(G60,K60)=2, (G60 + (DATEDIF(G60,K60,"d")-90)*0.5),
    G60&lt;&gt;"", EDATE(G60, + L60*0.5),
    H60&lt;&gt;"", EDATE(H60, + L60*0.25),
    J60&lt;&gt;"", EDATE(J60, - L60*0.5),
    K60&lt;&gt;"", EDATE(K60, -((L60*0.5)+3)),
    TRUE, ""
)</f>
        <v/>
      </c>
      <c r="P60" s="45" t="str" cm="1">
        <f t="array" ref="P60">_xlfn.IFS(
    J60&lt;&gt;"", J60,
    K60&lt;&gt;"", EDATE(K60, -3),
    G60&lt;&gt;"", EDATE(G60, + L60),
    H60&lt;&gt;"", EDATE(H60, + L60*0.75),
    I60&lt;&gt;"", EDATE(I60, H L60*0.5),
    TRUE, ""
)</f>
        <v/>
      </c>
      <c r="Q60" s="45" t="str" cm="1">
        <f t="array" ref="Q60">_xlfn.IFS(
    K60&lt;&gt;"",K60,
    J60&lt;&gt;"",EDATE(J60,3),
    P60&lt;&gt;"",EDATE(P60,3),
    TRUE,""
)</f>
        <v/>
      </c>
    </row>
    <row r="61" spans="1:17" x14ac:dyDescent="0.3">
      <c r="A61" t="str">
        <f>IF(AND(Projects!A70="", Projects!B70=""), "", IF(Projects!A70="", "Unassigned", Projects!A70))</f>
        <v/>
      </c>
      <c r="B61" t="str">
        <f>IF(Projects!B70&lt;&gt;"",Projects!B70,"")</f>
        <v/>
      </c>
      <c r="C61" t="str">
        <f>IF(AND(Projects!C70="", Projects!B70=""), "", IF(Projects!C70="", "None", Projects!C70))</f>
        <v/>
      </c>
      <c r="D61" t="str">
        <f>IF(AND(Projects!D70="", Projects!B70=""), "", IF(Projects!D70="", "No OpCo", Projects!D70))</f>
        <v/>
      </c>
      <c r="E61" t="str">
        <f>IF(Projects!E70&lt;&gt;"",Projects!E70,"")</f>
        <v/>
      </c>
      <c r="F61" t="str">
        <f>IF(Projects!F70&lt;&gt;"",Projects!F70,"")</f>
        <v/>
      </c>
      <c r="G61" s="45" t="str">
        <f>IF(Projects!G70&lt;&gt;"",Projects!G70,"")</f>
        <v/>
      </c>
      <c r="H61" s="45" t="str">
        <f>IF(Projects!H70&lt;&gt;"",Projects!H70,"")</f>
        <v/>
      </c>
      <c r="I61" s="45" t="str">
        <f>IF(Projects!I70&lt;&gt;"",Projects!I70,"")</f>
        <v/>
      </c>
      <c r="J61" s="45" t="str">
        <f>IF(Projects!J70&lt;&gt;"",Projects!J70,"")</f>
        <v/>
      </c>
      <c r="K61" s="45" t="str">
        <f>IF(Projects!K70&lt;&gt;"",Projects!K70,"")</f>
        <v/>
      </c>
      <c r="L61" t="str">
        <f>IF(AND(Projects!E70&lt;&gt;"", Projects!F70&lt;&gt;""),
INDEX('Duration Table'!$D$7:$H$17,MATCH(Projects!E70,'Duration Table'!$C$7:$C$17,0),MATCH(Projects!F70,'Duration Table'!$D$6:$H$6)),
   ""
)</f>
        <v/>
      </c>
      <c r="M61" s="45" t="str" cm="1">
        <f t="array" ref="M61">_xlfn.IFS(
    G61&lt;&gt;"",G61,
    H61&lt;&gt;"",EDATE(H61,-0.25*L61),
    N61&lt;&gt;"",EDATE(N61,-0.25*L61),
    TRUE,""
)</f>
        <v/>
      </c>
      <c r="N61" s="45" t="str" cm="1">
        <f t="array" ref="N61">_xlfn.IFS(
    H61&lt;&gt;"", H61,
    COUNT(G61,I61)=2, (G61 + (DATEDIF(G61,I61,"d")*0.5)),
    COUNT(G61,J61)=2, (G61 + (DATEDIF(G61,J61,"d")*0.25)),
    COUNT(G61,K61)=2, (G61 + ((DATEDIF(G61,K61,"d")-90)*0.25)),
    COUNT(I61,J61)=2, (I61 -(DATEDIF(I61,J61,"d")*0.5)),
    COUNT(I61,K61)=2, (I61 -((DATEDIF(I61,K61,"d")-90)*0.5)),
    G61&lt;&gt;"", EDATE(G61, + L61*0.25),
    I61&lt;&gt;"", EDATE(I61, - L61*0.25),
    J61&lt;&gt;"", EDATE(J61, - L61*0.75),
    K61&lt;&gt;"", EDATE(K61, -((L61*0.75)+3)),
    TRUE, ""
)</f>
        <v/>
      </c>
      <c r="O61" s="45" t="str" cm="1">
        <f t="array" ref="O61">_xlfn.IFS(
    I61&lt;&gt;"", I61,
    COUNT(H61,J61)=2, (H61 + (DATEDIF(H61,J61,"d")*0.33)),
    COUNT(H61,K61)=2, (H61 + ((DATEDIF(H61,K61,"d")-90)*0.33)),
    COUNT(G61,J61)=2, (G61 +  DATEDIF(G61,J61,"d")*0.5),
    COUNT(G61,K61)=2, (G61 + (DATEDIF(G61,K61,"d")-90)*0.5),
    G61&lt;&gt;"", EDATE(G61, + L61*0.5),
    H61&lt;&gt;"", EDATE(H61, + L61*0.25),
    J61&lt;&gt;"", EDATE(J61, - L61*0.5),
    K61&lt;&gt;"", EDATE(K61, -((L61*0.5)+3)),
    TRUE, ""
)</f>
        <v/>
      </c>
      <c r="P61" s="45" t="str" cm="1">
        <f t="array" ref="P61">_xlfn.IFS(
    J61&lt;&gt;"", J61,
    K61&lt;&gt;"", EDATE(K61, -3),
    G61&lt;&gt;"", EDATE(G61, + L61),
    H61&lt;&gt;"", EDATE(H61, + L61*0.75),
    I61&lt;&gt;"", EDATE(I61, H L61*0.5),
    TRUE, ""
)</f>
        <v/>
      </c>
      <c r="Q61" s="45" t="str" cm="1">
        <f t="array" ref="Q61">_xlfn.IFS(
    K61&lt;&gt;"",K61,
    J61&lt;&gt;"",EDATE(J61,3),
    P61&lt;&gt;"",EDATE(P61,3),
    TRUE,""
)</f>
        <v/>
      </c>
    </row>
    <row r="62" spans="1:17" x14ac:dyDescent="0.3">
      <c r="A62" t="str">
        <f>IF(AND(Projects!A71="", Projects!B71=""), "", IF(Projects!A71="", "Unassigned", Projects!A71))</f>
        <v/>
      </c>
      <c r="B62" t="str">
        <f>IF(Projects!B71&lt;&gt;"",Projects!B71,"")</f>
        <v/>
      </c>
      <c r="C62" t="str">
        <f>IF(AND(Projects!C71="", Projects!B71=""), "", IF(Projects!C71="", "None", Projects!C71))</f>
        <v/>
      </c>
      <c r="D62" t="str">
        <f>IF(AND(Projects!D71="", Projects!B71=""), "", IF(Projects!D71="", "No OpCo", Projects!D71))</f>
        <v/>
      </c>
      <c r="E62" t="str">
        <f>IF(Projects!E71&lt;&gt;"",Projects!E71,"")</f>
        <v/>
      </c>
      <c r="F62" t="str">
        <f>IF(Projects!F71&lt;&gt;"",Projects!F71,"")</f>
        <v/>
      </c>
      <c r="G62" s="45" t="str">
        <f>IF(Projects!G71&lt;&gt;"",Projects!G71,"")</f>
        <v/>
      </c>
      <c r="H62" s="45" t="str">
        <f>IF(Projects!H71&lt;&gt;"",Projects!H71,"")</f>
        <v/>
      </c>
      <c r="I62" s="45" t="str">
        <f>IF(Projects!I71&lt;&gt;"",Projects!I71,"")</f>
        <v/>
      </c>
      <c r="J62" s="45" t="str">
        <f>IF(Projects!J71&lt;&gt;"",Projects!J71,"")</f>
        <v/>
      </c>
      <c r="K62" s="45" t="str">
        <f>IF(Projects!K71&lt;&gt;"",Projects!K71,"")</f>
        <v/>
      </c>
      <c r="L62" t="str">
        <f>IF(AND(Projects!E71&lt;&gt;"", Projects!F71&lt;&gt;""),
INDEX('Duration Table'!$D$7:$H$17,MATCH(Projects!E71,'Duration Table'!$C$7:$C$17,0),MATCH(Projects!F71,'Duration Table'!$D$6:$H$6)),
   ""
)</f>
        <v/>
      </c>
      <c r="M62" s="45" t="str" cm="1">
        <f t="array" ref="M62">_xlfn.IFS(
    G62&lt;&gt;"",G62,
    H62&lt;&gt;"",EDATE(H62,-0.25*L62),
    N62&lt;&gt;"",EDATE(N62,-0.25*L62),
    TRUE,""
)</f>
        <v/>
      </c>
      <c r="N62" s="45" t="str" cm="1">
        <f t="array" ref="N62">_xlfn.IFS(
    H62&lt;&gt;"", H62,
    COUNT(G62,I62)=2, (G62 + (DATEDIF(G62,I62,"d")*0.5)),
    COUNT(G62,J62)=2, (G62 + (DATEDIF(G62,J62,"d")*0.25)),
    COUNT(G62,K62)=2, (G62 + ((DATEDIF(G62,K62,"d")-90)*0.25)),
    COUNT(I62,J62)=2, (I62 -(DATEDIF(I62,J62,"d")*0.5)),
    COUNT(I62,K62)=2, (I62 -((DATEDIF(I62,K62,"d")-90)*0.5)),
    G62&lt;&gt;"", EDATE(G62, + L62*0.25),
    I62&lt;&gt;"", EDATE(I62, - L62*0.25),
    J62&lt;&gt;"", EDATE(J62, - L62*0.75),
    K62&lt;&gt;"", EDATE(K62, -((L62*0.75)+3)),
    TRUE, ""
)</f>
        <v/>
      </c>
      <c r="O62" s="45" t="str" cm="1">
        <f t="array" ref="O62">_xlfn.IFS(
    I62&lt;&gt;"", I62,
    COUNT(H62,J62)=2, (H62 + (DATEDIF(H62,J62,"d")*0.33)),
    COUNT(H62,K62)=2, (H62 + ((DATEDIF(H62,K62,"d")-90)*0.33)),
    COUNT(G62,J62)=2, (G62 +  DATEDIF(G62,J62,"d")*0.5),
    COUNT(G62,K62)=2, (G62 + (DATEDIF(G62,K62,"d")-90)*0.5),
    G62&lt;&gt;"", EDATE(G62, + L62*0.5),
    H62&lt;&gt;"", EDATE(H62, + L62*0.25),
    J62&lt;&gt;"", EDATE(J62, - L62*0.5),
    K62&lt;&gt;"", EDATE(K62, -((L62*0.5)+3)),
    TRUE, ""
)</f>
        <v/>
      </c>
      <c r="P62" s="45" t="str" cm="1">
        <f t="array" ref="P62">_xlfn.IFS(
    J62&lt;&gt;"", J62,
    K62&lt;&gt;"", EDATE(K62, -3),
    G62&lt;&gt;"", EDATE(G62, + L62),
    H62&lt;&gt;"", EDATE(H62, + L62*0.75),
    I62&lt;&gt;"", EDATE(I62, H L62*0.5),
    TRUE, ""
)</f>
        <v/>
      </c>
      <c r="Q62" s="45" t="str" cm="1">
        <f t="array" ref="Q62">_xlfn.IFS(
    K62&lt;&gt;"",K62,
    J62&lt;&gt;"",EDATE(J62,3),
    P62&lt;&gt;"",EDATE(P62,3),
    TRUE,""
)</f>
        <v/>
      </c>
    </row>
    <row r="63" spans="1:17" x14ac:dyDescent="0.3">
      <c r="A63" t="str">
        <f>IF(AND(Projects!A72="", Projects!B72=""), "", IF(Projects!A72="", "Unassigned", Projects!A72))</f>
        <v/>
      </c>
      <c r="B63" t="str">
        <f>IF(Projects!B72&lt;&gt;"",Projects!B72,"")</f>
        <v/>
      </c>
      <c r="C63" t="str">
        <f>IF(AND(Projects!C72="", Projects!B72=""), "", IF(Projects!C72="", "None", Projects!C72))</f>
        <v/>
      </c>
      <c r="D63" t="str">
        <f>IF(AND(Projects!D72="", Projects!B72=""), "", IF(Projects!D72="", "No OpCo", Projects!D72))</f>
        <v/>
      </c>
      <c r="E63" t="str">
        <f>IF(Projects!E72&lt;&gt;"",Projects!E72,"")</f>
        <v/>
      </c>
      <c r="F63" t="str">
        <f>IF(Projects!F72&lt;&gt;"",Projects!F72,"")</f>
        <v/>
      </c>
      <c r="G63" s="45" t="str">
        <f>IF(Projects!G72&lt;&gt;"",Projects!G72,"")</f>
        <v/>
      </c>
      <c r="H63" s="45" t="str">
        <f>IF(Projects!H72&lt;&gt;"",Projects!H72,"")</f>
        <v/>
      </c>
      <c r="I63" s="45" t="str">
        <f>IF(Projects!I72&lt;&gt;"",Projects!I72,"")</f>
        <v/>
      </c>
      <c r="J63" s="45" t="str">
        <f>IF(Projects!J72&lt;&gt;"",Projects!J72,"")</f>
        <v/>
      </c>
      <c r="K63" s="45" t="str">
        <f>IF(Projects!K72&lt;&gt;"",Projects!K72,"")</f>
        <v/>
      </c>
      <c r="L63" t="str">
        <f>IF(AND(Projects!E72&lt;&gt;"", Projects!F72&lt;&gt;""),
INDEX('Duration Table'!$D$7:$H$17,MATCH(Projects!E72,'Duration Table'!$C$7:$C$17,0),MATCH(Projects!F72,'Duration Table'!$D$6:$H$6)),
   ""
)</f>
        <v/>
      </c>
      <c r="M63" s="45" t="str" cm="1">
        <f t="array" ref="M63">_xlfn.IFS(
    G63&lt;&gt;"",G63,
    H63&lt;&gt;"",EDATE(H63,-0.25*L63),
    N63&lt;&gt;"",EDATE(N63,-0.25*L63),
    TRUE,""
)</f>
        <v/>
      </c>
      <c r="N63" s="45" t="str" cm="1">
        <f t="array" ref="N63">_xlfn.IFS(
    H63&lt;&gt;"", H63,
    COUNT(G63,I63)=2, (G63 + (DATEDIF(G63,I63,"d")*0.5)),
    COUNT(G63,J63)=2, (G63 + (DATEDIF(G63,J63,"d")*0.25)),
    COUNT(G63,K63)=2, (G63 + ((DATEDIF(G63,K63,"d")-90)*0.25)),
    COUNT(I63,J63)=2, (I63 -(DATEDIF(I63,J63,"d")*0.5)),
    COUNT(I63,K63)=2, (I63 -((DATEDIF(I63,K63,"d")-90)*0.5)),
    G63&lt;&gt;"", EDATE(G63, + L63*0.25),
    I63&lt;&gt;"", EDATE(I63, - L63*0.25),
    J63&lt;&gt;"", EDATE(J63, - L63*0.75),
    K63&lt;&gt;"", EDATE(K63, -((L63*0.75)+3)),
    TRUE, ""
)</f>
        <v/>
      </c>
      <c r="O63" s="45" t="str" cm="1">
        <f t="array" ref="O63">_xlfn.IFS(
    I63&lt;&gt;"", I63,
    COUNT(H63,J63)=2, (H63 + (DATEDIF(H63,J63,"d")*0.33)),
    COUNT(H63,K63)=2, (H63 + ((DATEDIF(H63,K63,"d")-90)*0.33)),
    COUNT(G63,J63)=2, (G63 +  DATEDIF(G63,J63,"d")*0.5),
    COUNT(G63,K63)=2, (G63 + (DATEDIF(G63,K63,"d")-90)*0.5),
    G63&lt;&gt;"", EDATE(G63, + L63*0.5),
    H63&lt;&gt;"", EDATE(H63, + L63*0.25),
    J63&lt;&gt;"", EDATE(J63, - L63*0.5),
    K63&lt;&gt;"", EDATE(K63, -((L63*0.5)+3)),
    TRUE, ""
)</f>
        <v/>
      </c>
      <c r="P63" s="45" t="str" cm="1">
        <f t="array" ref="P63">_xlfn.IFS(
    J63&lt;&gt;"", J63,
    K63&lt;&gt;"", EDATE(K63, -3),
    G63&lt;&gt;"", EDATE(G63, + L63),
    H63&lt;&gt;"", EDATE(H63, + L63*0.75),
    I63&lt;&gt;"", EDATE(I63, H L63*0.5),
    TRUE, ""
)</f>
        <v/>
      </c>
      <c r="Q63" s="45" t="str" cm="1">
        <f t="array" ref="Q63">_xlfn.IFS(
    K63&lt;&gt;"",K63,
    J63&lt;&gt;"",EDATE(J63,3),
    P63&lt;&gt;"",EDATE(P63,3),
    TRUE,""
)</f>
        <v/>
      </c>
    </row>
    <row r="64" spans="1:17" x14ac:dyDescent="0.3">
      <c r="A64" t="str">
        <f>IF(AND(Projects!A73="", Projects!B73=""), "", IF(Projects!A73="", "Unassigned", Projects!A73))</f>
        <v/>
      </c>
      <c r="B64" t="str">
        <f>IF(Projects!B73&lt;&gt;"",Projects!B73,"")</f>
        <v/>
      </c>
      <c r="C64" t="str">
        <f>IF(AND(Projects!C73="", Projects!B73=""), "", IF(Projects!C73="", "None", Projects!C73))</f>
        <v/>
      </c>
      <c r="D64" t="str">
        <f>IF(AND(Projects!D73="", Projects!B73=""), "", IF(Projects!D73="", "No OpCo", Projects!D73))</f>
        <v/>
      </c>
      <c r="E64" t="str">
        <f>IF(Projects!E73&lt;&gt;"",Projects!E73,"")</f>
        <v/>
      </c>
      <c r="F64" t="str">
        <f>IF(Projects!F73&lt;&gt;"",Projects!F73,"")</f>
        <v/>
      </c>
      <c r="G64" s="45" t="str">
        <f>IF(Projects!G73&lt;&gt;"",Projects!G73,"")</f>
        <v/>
      </c>
      <c r="H64" s="45" t="str">
        <f>IF(Projects!H73&lt;&gt;"",Projects!H73,"")</f>
        <v/>
      </c>
      <c r="I64" s="45" t="str">
        <f>IF(Projects!I73&lt;&gt;"",Projects!I73,"")</f>
        <v/>
      </c>
      <c r="J64" s="45" t="str">
        <f>IF(Projects!J73&lt;&gt;"",Projects!J73,"")</f>
        <v/>
      </c>
      <c r="K64" s="45" t="str">
        <f>IF(Projects!K73&lt;&gt;"",Projects!K73,"")</f>
        <v/>
      </c>
      <c r="L64" t="str">
        <f>IF(AND(Projects!E73&lt;&gt;"", Projects!F73&lt;&gt;""),
INDEX('Duration Table'!$D$7:$H$17,MATCH(Projects!E73,'Duration Table'!$C$7:$C$17,0),MATCH(Projects!F73,'Duration Table'!$D$6:$H$6)),
   ""
)</f>
        <v/>
      </c>
      <c r="M64" s="45" t="str" cm="1">
        <f t="array" ref="M64">_xlfn.IFS(
    G64&lt;&gt;"",G64,
    H64&lt;&gt;"",EDATE(H64,-0.25*L64),
    N64&lt;&gt;"",EDATE(N64,-0.25*L64),
    TRUE,""
)</f>
        <v/>
      </c>
      <c r="N64" s="45" t="str" cm="1">
        <f t="array" ref="N64">_xlfn.IFS(
    H64&lt;&gt;"", H64,
    COUNT(G64,I64)=2, (G64 + (DATEDIF(G64,I64,"d")*0.5)),
    COUNT(G64,J64)=2, (G64 + (DATEDIF(G64,J64,"d")*0.25)),
    COUNT(G64,K64)=2, (G64 + ((DATEDIF(G64,K64,"d")-90)*0.25)),
    COUNT(I64,J64)=2, (I64 -(DATEDIF(I64,J64,"d")*0.5)),
    COUNT(I64,K64)=2, (I64 -((DATEDIF(I64,K64,"d")-90)*0.5)),
    G64&lt;&gt;"", EDATE(G64, + L64*0.25),
    I64&lt;&gt;"", EDATE(I64, - L64*0.25),
    J64&lt;&gt;"", EDATE(J64, - L64*0.75),
    K64&lt;&gt;"", EDATE(K64, -((L64*0.75)+3)),
    TRUE, ""
)</f>
        <v/>
      </c>
      <c r="O64" s="45" t="str" cm="1">
        <f t="array" ref="O64">_xlfn.IFS(
    I64&lt;&gt;"", I64,
    COUNT(H64,J64)=2, (H64 + (DATEDIF(H64,J64,"d")*0.33)),
    COUNT(H64,K64)=2, (H64 + ((DATEDIF(H64,K64,"d")-90)*0.33)),
    COUNT(G64,J64)=2, (G64 +  DATEDIF(G64,J64,"d")*0.5),
    COUNT(G64,K64)=2, (G64 + (DATEDIF(G64,K64,"d")-90)*0.5),
    G64&lt;&gt;"", EDATE(G64, + L64*0.5),
    H64&lt;&gt;"", EDATE(H64, + L64*0.25),
    J64&lt;&gt;"", EDATE(J64, - L64*0.5),
    K64&lt;&gt;"", EDATE(K64, -((L64*0.5)+3)),
    TRUE, ""
)</f>
        <v/>
      </c>
      <c r="P64" s="45" t="str" cm="1">
        <f t="array" ref="P64">_xlfn.IFS(
    J64&lt;&gt;"", J64,
    K64&lt;&gt;"", EDATE(K64, -3),
    G64&lt;&gt;"", EDATE(G64, + L64),
    H64&lt;&gt;"", EDATE(H64, + L64*0.75),
    I64&lt;&gt;"", EDATE(I64, H L64*0.5),
    TRUE, ""
)</f>
        <v/>
      </c>
      <c r="Q64" s="45" t="str" cm="1">
        <f t="array" ref="Q64">_xlfn.IFS(
    K64&lt;&gt;"",K64,
    J64&lt;&gt;"",EDATE(J64,3),
    P64&lt;&gt;"",EDATE(P64,3),
    TRUE,""
)</f>
        <v/>
      </c>
    </row>
    <row r="65" spans="1:17" x14ac:dyDescent="0.3">
      <c r="A65" t="str">
        <f>IF(AND(Projects!A74="", Projects!B74=""), "", IF(Projects!A74="", "Unassigned", Projects!A74))</f>
        <v/>
      </c>
      <c r="B65" t="str">
        <f>IF(Projects!B74&lt;&gt;"",Projects!B74,"")</f>
        <v/>
      </c>
      <c r="C65" t="str">
        <f>IF(AND(Projects!C74="", Projects!B74=""), "", IF(Projects!C74="", "None", Projects!C74))</f>
        <v/>
      </c>
      <c r="D65" t="str">
        <f>IF(AND(Projects!D74="", Projects!B74=""), "", IF(Projects!D74="", "No OpCo", Projects!D74))</f>
        <v/>
      </c>
      <c r="E65" t="str">
        <f>IF(Projects!E74&lt;&gt;"",Projects!E74,"")</f>
        <v/>
      </c>
      <c r="F65" t="str">
        <f>IF(Projects!F74&lt;&gt;"",Projects!F74,"")</f>
        <v/>
      </c>
      <c r="G65" s="45" t="str">
        <f>IF(Projects!G74&lt;&gt;"",Projects!G74,"")</f>
        <v/>
      </c>
      <c r="H65" s="45" t="str">
        <f>IF(Projects!H74&lt;&gt;"",Projects!H74,"")</f>
        <v/>
      </c>
      <c r="I65" s="45" t="str">
        <f>IF(Projects!I74&lt;&gt;"",Projects!I74,"")</f>
        <v/>
      </c>
      <c r="J65" s="45" t="str">
        <f>IF(Projects!J74&lt;&gt;"",Projects!J74,"")</f>
        <v/>
      </c>
      <c r="K65" s="45" t="str">
        <f>IF(Projects!K74&lt;&gt;"",Projects!K74,"")</f>
        <v/>
      </c>
      <c r="L65" t="str">
        <f>IF(AND(Projects!E74&lt;&gt;"", Projects!F74&lt;&gt;""),
INDEX('Duration Table'!$D$7:$H$17,MATCH(Projects!E74,'Duration Table'!$C$7:$C$17,0),MATCH(Projects!F74,'Duration Table'!$D$6:$H$6)),
   ""
)</f>
        <v/>
      </c>
      <c r="M65" s="45" t="str" cm="1">
        <f t="array" ref="M65">_xlfn.IFS(
    G65&lt;&gt;"",G65,
    H65&lt;&gt;"",EDATE(H65,-0.25*L65),
    N65&lt;&gt;"",EDATE(N65,-0.25*L65),
    TRUE,""
)</f>
        <v/>
      </c>
      <c r="N65" s="45" t="str" cm="1">
        <f t="array" ref="N65">_xlfn.IFS(
    H65&lt;&gt;"", H65,
    COUNT(G65,I65)=2, (G65 + (DATEDIF(G65,I65,"d")*0.5)),
    COUNT(G65,J65)=2, (G65 + (DATEDIF(G65,J65,"d")*0.25)),
    COUNT(G65,K65)=2, (G65 + ((DATEDIF(G65,K65,"d")-90)*0.25)),
    COUNT(I65,J65)=2, (I65 -(DATEDIF(I65,J65,"d")*0.5)),
    COUNT(I65,K65)=2, (I65 -((DATEDIF(I65,K65,"d")-90)*0.5)),
    G65&lt;&gt;"", EDATE(G65, + L65*0.25),
    I65&lt;&gt;"", EDATE(I65, - L65*0.25),
    J65&lt;&gt;"", EDATE(J65, - L65*0.75),
    K65&lt;&gt;"", EDATE(K65, -((L65*0.75)+3)),
    TRUE, ""
)</f>
        <v/>
      </c>
      <c r="O65" s="45" t="str" cm="1">
        <f t="array" ref="O65">_xlfn.IFS(
    I65&lt;&gt;"", I65,
    COUNT(H65,J65)=2, (H65 + (DATEDIF(H65,J65,"d")*0.33)),
    COUNT(H65,K65)=2, (H65 + ((DATEDIF(H65,K65,"d")-90)*0.33)),
    COUNT(G65,J65)=2, (G65 +  DATEDIF(G65,J65,"d")*0.5),
    COUNT(G65,K65)=2, (G65 + (DATEDIF(G65,K65,"d")-90)*0.5),
    G65&lt;&gt;"", EDATE(G65, + L65*0.5),
    H65&lt;&gt;"", EDATE(H65, + L65*0.25),
    J65&lt;&gt;"", EDATE(J65, - L65*0.5),
    K65&lt;&gt;"", EDATE(K65, -((L65*0.5)+3)),
    TRUE, ""
)</f>
        <v/>
      </c>
      <c r="P65" s="45" t="str" cm="1">
        <f t="array" ref="P65">_xlfn.IFS(
    J65&lt;&gt;"", J65,
    K65&lt;&gt;"", EDATE(K65, -3),
    G65&lt;&gt;"", EDATE(G65, + L65),
    H65&lt;&gt;"", EDATE(H65, + L65*0.75),
    I65&lt;&gt;"", EDATE(I65, H L65*0.5),
    TRUE, ""
)</f>
        <v/>
      </c>
      <c r="Q65" s="45" t="str" cm="1">
        <f t="array" ref="Q65">_xlfn.IFS(
    K65&lt;&gt;"",K65,
    J65&lt;&gt;"",EDATE(J65,3),
    P65&lt;&gt;"",EDATE(P65,3),
    TRUE,""
)</f>
        <v/>
      </c>
    </row>
    <row r="66" spans="1:17" x14ac:dyDescent="0.3">
      <c r="A66" t="str">
        <f>IF(AND(Projects!A75="", Projects!B75=""), "", IF(Projects!A75="", "Unassigned", Projects!A75))</f>
        <v/>
      </c>
      <c r="B66" t="str">
        <f>IF(Projects!B75&lt;&gt;"",Projects!B75,"")</f>
        <v/>
      </c>
      <c r="C66" t="str">
        <f>IF(AND(Projects!C75="", Projects!B75=""), "", IF(Projects!C75="", "None", Projects!C75))</f>
        <v/>
      </c>
      <c r="D66" t="str">
        <f>IF(AND(Projects!D75="", Projects!B75=""), "", IF(Projects!D75="", "No OpCo", Projects!D75))</f>
        <v/>
      </c>
      <c r="E66" t="str">
        <f>IF(Projects!E75&lt;&gt;"",Projects!E75,"")</f>
        <v/>
      </c>
      <c r="F66" t="str">
        <f>IF(Projects!F75&lt;&gt;"",Projects!F75,"")</f>
        <v/>
      </c>
      <c r="G66" s="45" t="str">
        <f>IF(Projects!G75&lt;&gt;"",Projects!G75,"")</f>
        <v/>
      </c>
      <c r="H66" s="45" t="str">
        <f>IF(Projects!H75&lt;&gt;"",Projects!H75,"")</f>
        <v/>
      </c>
      <c r="I66" s="45" t="str">
        <f>IF(Projects!I75&lt;&gt;"",Projects!I75,"")</f>
        <v/>
      </c>
      <c r="J66" s="45" t="str">
        <f>IF(Projects!J75&lt;&gt;"",Projects!J75,"")</f>
        <v/>
      </c>
      <c r="K66" s="45" t="str">
        <f>IF(Projects!K75&lt;&gt;"",Projects!K75,"")</f>
        <v/>
      </c>
      <c r="L66" t="str">
        <f>IF(AND(Projects!E75&lt;&gt;"", Projects!F75&lt;&gt;""),
INDEX('Duration Table'!$D$7:$H$17,MATCH(Projects!E75,'Duration Table'!$C$7:$C$17,0),MATCH(Projects!F75,'Duration Table'!$D$6:$H$6)),
   ""
)</f>
        <v/>
      </c>
      <c r="M66" s="45" t="str" cm="1">
        <f t="array" ref="M66">_xlfn.IFS(
    G66&lt;&gt;"",G66,
    H66&lt;&gt;"",EDATE(H66,-0.25*L66),
    N66&lt;&gt;"",EDATE(N66,-0.25*L66),
    TRUE,""
)</f>
        <v/>
      </c>
      <c r="N66" s="45" t="str" cm="1">
        <f t="array" ref="N66">_xlfn.IFS(
    H66&lt;&gt;"", H66,
    COUNT(G66,I66)=2, (G66 + (DATEDIF(G66,I66,"d")*0.5)),
    COUNT(G66,J66)=2, (G66 + (DATEDIF(G66,J66,"d")*0.25)),
    COUNT(G66,K66)=2, (G66 + ((DATEDIF(G66,K66,"d")-90)*0.25)),
    COUNT(I66,J66)=2, (I66 -(DATEDIF(I66,J66,"d")*0.5)),
    COUNT(I66,K66)=2, (I66 -((DATEDIF(I66,K66,"d")-90)*0.5)),
    G66&lt;&gt;"", EDATE(G66, + L66*0.25),
    I66&lt;&gt;"", EDATE(I66, - L66*0.25),
    J66&lt;&gt;"", EDATE(J66, - L66*0.75),
    K66&lt;&gt;"", EDATE(K66, -((L66*0.75)+3)),
    TRUE, ""
)</f>
        <v/>
      </c>
      <c r="O66" s="45" t="str" cm="1">
        <f t="array" ref="O66">_xlfn.IFS(
    I66&lt;&gt;"", I66,
    COUNT(H66,J66)=2, (H66 + (DATEDIF(H66,J66,"d")*0.33)),
    COUNT(H66,K66)=2, (H66 + ((DATEDIF(H66,K66,"d")-90)*0.33)),
    COUNT(G66,J66)=2, (G66 +  DATEDIF(G66,J66,"d")*0.5),
    COUNT(G66,K66)=2, (G66 + (DATEDIF(G66,K66,"d")-90)*0.5),
    G66&lt;&gt;"", EDATE(G66, + L66*0.5),
    H66&lt;&gt;"", EDATE(H66, + L66*0.25),
    J66&lt;&gt;"", EDATE(J66, - L66*0.5),
    K66&lt;&gt;"", EDATE(K66, -((L66*0.5)+3)),
    TRUE, ""
)</f>
        <v/>
      </c>
      <c r="P66" s="45" t="str" cm="1">
        <f t="array" ref="P66">_xlfn.IFS(
    J66&lt;&gt;"", J66,
    K66&lt;&gt;"", EDATE(K66, -3),
    G66&lt;&gt;"", EDATE(G66, + L66),
    H66&lt;&gt;"", EDATE(H66, + L66*0.75),
    I66&lt;&gt;"", EDATE(I66, H L66*0.5),
    TRUE, ""
)</f>
        <v/>
      </c>
      <c r="Q66" s="45" t="str" cm="1">
        <f t="array" ref="Q66">_xlfn.IFS(
    K66&lt;&gt;"",K66,
    J66&lt;&gt;"",EDATE(J66,3),
    P66&lt;&gt;"",EDATE(P66,3),
    TRUE,""
)</f>
        <v/>
      </c>
    </row>
    <row r="67" spans="1:17" x14ac:dyDescent="0.3">
      <c r="A67" t="str">
        <f>IF(AND(Projects!A76="", Projects!B76=""), "", IF(Projects!A76="", "Unassigned", Projects!A76))</f>
        <v/>
      </c>
      <c r="B67" t="str">
        <f>IF(Projects!B76&lt;&gt;"",Projects!B76,"")</f>
        <v/>
      </c>
      <c r="C67" t="str">
        <f>IF(AND(Projects!C76="", Projects!B76=""), "", IF(Projects!C76="", "None", Projects!C76))</f>
        <v/>
      </c>
      <c r="D67" t="str">
        <f>IF(AND(Projects!D76="", Projects!B76=""), "", IF(Projects!D76="", "No OpCo", Projects!D76))</f>
        <v/>
      </c>
      <c r="E67" t="str">
        <f>IF(Projects!E76&lt;&gt;"",Projects!E76,"")</f>
        <v/>
      </c>
      <c r="F67" t="str">
        <f>IF(Projects!F76&lt;&gt;"",Projects!F76,"")</f>
        <v/>
      </c>
      <c r="G67" s="45" t="str">
        <f>IF(Projects!G76&lt;&gt;"",Projects!G76,"")</f>
        <v/>
      </c>
      <c r="H67" s="45" t="str">
        <f>IF(Projects!H76&lt;&gt;"",Projects!H76,"")</f>
        <v/>
      </c>
      <c r="I67" s="45" t="str">
        <f>IF(Projects!I76&lt;&gt;"",Projects!I76,"")</f>
        <v/>
      </c>
      <c r="J67" s="45" t="str">
        <f>IF(Projects!J76&lt;&gt;"",Projects!J76,"")</f>
        <v/>
      </c>
      <c r="K67" s="45" t="str">
        <f>IF(Projects!K76&lt;&gt;"",Projects!K76,"")</f>
        <v/>
      </c>
      <c r="L67" t="str">
        <f>IF(AND(Projects!E76&lt;&gt;"", Projects!F76&lt;&gt;""),
INDEX('Duration Table'!$D$7:$H$17,MATCH(Projects!E76,'Duration Table'!$C$7:$C$17,0),MATCH(Projects!F76,'Duration Table'!$D$6:$H$6)),
   ""
)</f>
        <v/>
      </c>
      <c r="M67" s="45" t="str" cm="1">
        <f t="array" ref="M67">_xlfn.IFS(
    G67&lt;&gt;"",G67,
    H67&lt;&gt;"",EDATE(H67,-0.25*L67),
    N67&lt;&gt;"",EDATE(N67,-0.25*L67),
    TRUE,""
)</f>
        <v/>
      </c>
      <c r="N67" s="45" t="str" cm="1">
        <f t="array" ref="N67">_xlfn.IFS(
    H67&lt;&gt;"", H67,
    COUNT(G67,I67)=2, (G67 + (DATEDIF(G67,I67,"d")*0.5)),
    COUNT(G67,J67)=2, (G67 + (DATEDIF(G67,J67,"d")*0.25)),
    COUNT(G67,K67)=2, (G67 + ((DATEDIF(G67,K67,"d")-90)*0.25)),
    COUNT(I67,J67)=2, (I67 -(DATEDIF(I67,J67,"d")*0.5)),
    COUNT(I67,K67)=2, (I67 -((DATEDIF(I67,K67,"d")-90)*0.5)),
    G67&lt;&gt;"", EDATE(G67, + L67*0.25),
    I67&lt;&gt;"", EDATE(I67, - L67*0.25),
    J67&lt;&gt;"", EDATE(J67, - L67*0.75),
    K67&lt;&gt;"", EDATE(K67, -((L67*0.75)+3)),
    TRUE, ""
)</f>
        <v/>
      </c>
      <c r="O67" s="45" t="str" cm="1">
        <f t="array" ref="O67">_xlfn.IFS(
    I67&lt;&gt;"", I67,
    COUNT(H67,J67)=2, (H67 + (DATEDIF(H67,J67,"d")*0.33)),
    COUNT(H67,K67)=2, (H67 + ((DATEDIF(H67,K67,"d")-90)*0.33)),
    COUNT(G67,J67)=2, (G67 +  DATEDIF(G67,J67,"d")*0.5),
    COUNT(G67,K67)=2, (G67 + (DATEDIF(G67,K67,"d")-90)*0.5),
    G67&lt;&gt;"", EDATE(G67, + L67*0.5),
    H67&lt;&gt;"", EDATE(H67, + L67*0.25),
    J67&lt;&gt;"", EDATE(J67, - L67*0.5),
    K67&lt;&gt;"", EDATE(K67, -((L67*0.5)+3)),
    TRUE, ""
)</f>
        <v/>
      </c>
      <c r="P67" s="45" t="str" cm="1">
        <f t="array" ref="P67">_xlfn.IFS(
    J67&lt;&gt;"", J67,
    K67&lt;&gt;"", EDATE(K67, -3),
    G67&lt;&gt;"", EDATE(G67, + L67),
    H67&lt;&gt;"", EDATE(H67, + L67*0.75),
    I67&lt;&gt;"", EDATE(I67, H L67*0.5),
    TRUE, ""
)</f>
        <v/>
      </c>
      <c r="Q67" s="45" t="str" cm="1">
        <f t="array" ref="Q67">_xlfn.IFS(
    K67&lt;&gt;"",K67,
    J67&lt;&gt;"",EDATE(J67,3),
    P67&lt;&gt;"",EDATE(P67,3),
    TRUE,""
)</f>
        <v/>
      </c>
    </row>
    <row r="68" spans="1:17" x14ac:dyDescent="0.3">
      <c r="A68" t="str">
        <f>IF(AND(Projects!A77="", Projects!B77=""), "", IF(Projects!A77="", "Unassigned", Projects!A77))</f>
        <v/>
      </c>
      <c r="B68" t="str">
        <f>IF(Projects!B77&lt;&gt;"",Projects!B77,"")</f>
        <v/>
      </c>
      <c r="C68" t="str">
        <f>IF(AND(Projects!C77="", Projects!B77=""), "", IF(Projects!C77="", "None", Projects!C77))</f>
        <v/>
      </c>
      <c r="D68" t="str">
        <f>IF(AND(Projects!D77="", Projects!B77=""), "", IF(Projects!D77="", "No OpCo", Projects!D77))</f>
        <v/>
      </c>
      <c r="E68" t="str">
        <f>IF(Projects!E77&lt;&gt;"",Projects!E77,"")</f>
        <v/>
      </c>
      <c r="F68" t="str">
        <f>IF(Projects!F77&lt;&gt;"",Projects!F77,"")</f>
        <v/>
      </c>
      <c r="G68" s="45" t="str">
        <f>IF(Projects!G77&lt;&gt;"",Projects!G77,"")</f>
        <v/>
      </c>
      <c r="H68" s="45" t="str">
        <f>IF(Projects!H77&lt;&gt;"",Projects!H77,"")</f>
        <v/>
      </c>
      <c r="I68" s="45" t="str">
        <f>IF(Projects!I77&lt;&gt;"",Projects!I77,"")</f>
        <v/>
      </c>
      <c r="J68" s="45" t="str">
        <f>IF(Projects!J77&lt;&gt;"",Projects!J77,"")</f>
        <v/>
      </c>
      <c r="K68" s="45" t="str">
        <f>IF(Projects!K77&lt;&gt;"",Projects!K77,"")</f>
        <v/>
      </c>
      <c r="L68" t="str">
        <f>IF(AND(Projects!E77&lt;&gt;"", Projects!F77&lt;&gt;""),
INDEX('Duration Table'!$D$7:$H$17,MATCH(Projects!E77,'Duration Table'!$C$7:$C$17,0),MATCH(Projects!F77,'Duration Table'!$D$6:$H$6)),
   ""
)</f>
        <v/>
      </c>
      <c r="M68" s="45" t="str" cm="1">
        <f t="array" ref="M68">_xlfn.IFS(
    G68&lt;&gt;"",G68,
    H68&lt;&gt;"",EDATE(H68,-0.25*L68),
    N68&lt;&gt;"",EDATE(N68,-0.25*L68),
    TRUE,""
)</f>
        <v/>
      </c>
      <c r="N68" s="45" t="str" cm="1">
        <f t="array" ref="N68">_xlfn.IFS(
    H68&lt;&gt;"", H68,
    COUNT(G68,I68)=2, (G68 + (DATEDIF(G68,I68,"d")*0.5)),
    COUNT(G68,J68)=2, (G68 + (DATEDIF(G68,J68,"d")*0.25)),
    COUNT(G68,K68)=2, (G68 + ((DATEDIF(G68,K68,"d")-90)*0.25)),
    COUNT(I68,J68)=2, (I68 -(DATEDIF(I68,J68,"d")*0.5)),
    COUNT(I68,K68)=2, (I68 -((DATEDIF(I68,K68,"d")-90)*0.5)),
    G68&lt;&gt;"", EDATE(G68, + L68*0.25),
    I68&lt;&gt;"", EDATE(I68, - L68*0.25),
    J68&lt;&gt;"", EDATE(J68, - L68*0.75),
    K68&lt;&gt;"", EDATE(K68, -((L68*0.75)+3)),
    TRUE, ""
)</f>
        <v/>
      </c>
      <c r="O68" s="45" t="str" cm="1">
        <f t="array" ref="O68">_xlfn.IFS(
    I68&lt;&gt;"", I68,
    COUNT(H68,J68)=2, (H68 + (DATEDIF(H68,J68,"d")*0.33)),
    COUNT(H68,K68)=2, (H68 + ((DATEDIF(H68,K68,"d")-90)*0.33)),
    COUNT(G68,J68)=2, (G68 +  DATEDIF(G68,J68,"d")*0.5),
    COUNT(G68,K68)=2, (G68 + (DATEDIF(G68,K68,"d")-90)*0.5),
    G68&lt;&gt;"", EDATE(G68, + L68*0.5),
    H68&lt;&gt;"", EDATE(H68, + L68*0.25),
    J68&lt;&gt;"", EDATE(J68, - L68*0.5),
    K68&lt;&gt;"", EDATE(K68, -((L68*0.5)+3)),
    TRUE, ""
)</f>
        <v/>
      </c>
      <c r="P68" s="45" t="str" cm="1">
        <f t="array" ref="P68">_xlfn.IFS(
    J68&lt;&gt;"", J68,
    K68&lt;&gt;"", EDATE(K68, -3),
    G68&lt;&gt;"", EDATE(G68, + L68),
    H68&lt;&gt;"", EDATE(H68, + L68*0.75),
    I68&lt;&gt;"", EDATE(I68, H L68*0.5),
    TRUE, ""
)</f>
        <v/>
      </c>
      <c r="Q68" s="45" t="str" cm="1">
        <f t="array" ref="Q68">_xlfn.IFS(
    K68&lt;&gt;"",K68,
    J68&lt;&gt;"",EDATE(J68,3),
    P68&lt;&gt;"",EDATE(P68,3),
    TRUE,""
)</f>
        <v/>
      </c>
    </row>
    <row r="69" spans="1:17" x14ac:dyDescent="0.3">
      <c r="A69" t="str">
        <f>IF(AND(Projects!A78="", Projects!B78=""), "", IF(Projects!A78="", "Unassigned", Projects!A78))</f>
        <v/>
      </c>
      <c r="B69" t="str">
        <f>IF(Projects!B78&lt;&gt;"",Projects!B78,"")</f>
        <v/>
      </c>
      <c r="C69" t="str">
        <f>IF(AND(Projects!C78="", Projects!B78=""), "", IF(Projects!C78="", "None", Projects!C78))</f>
        <v/>
      </c>
      <c r="D69" t="str">
        <f>IF(AND(Projects!D78="", Projects!B78=""), "", IF(Projects!D78="", "No OpCo", Projects!D78))</f>
        <v/>
      </c>
      <c r="E69" t="str">
        <f>IF(Projects!E78&lt;&gt;"",Projects!E78,"")</f>
        <v/>
      </c>
      <c r="F69" t="str">
        <f>IF(Projects!F78&lt;&gt;"",Projects!F78,"")</f>
        <v/>
      </c>
      <c r="G69" s="45" t="str">
        <f>IF(Projects!G78&lt;&gt;"",Projects!G78,"")</f>
        <v/>
      </c>
      <c r="H69" s="45" t="str">
        <f>IF(Projects!H78&lt;&gt;"",Projects!H78,"")</f>
        <v/>
      </c>
      <c r="I69" s="45" t="str">
        <f>IF(Projects!I78&lt;&gt;"",Projects!I78,"")</f>
        <v/>
      </c>
      <c r="J69" s="45" t="str">
        <f>IF(Projects!J78&lt;&gt;"",Projects!J78,"")</f>
        <v/>
      </c>
      <c r="K69" s="45" t="str">
        <f>IF(Projects!K78&lt;&gt;"",Projects!K78,"")</f>
        <v/>
      </c>
      <c r="L69" t="str">
        <f>IF(AND(Projects!E78&lt;&gt;"", Projects!F78&lt;&gt;""),
INDEX('Duration Table'!$D$7:$H$17,MATCH(Projects!E78,'Duration Table'!$C$7:$C$17,0),MATCH(Projects!F78,'Duration Table'!$D$6:$H$6)),
   ""
)</f>
        <v/>
      </c>
      <c r="M69" s="45" t="str" cm="1">
        <f t="array" ref="M69">_xlfn.IFS(
    G69&lt;&gt;"",G69,
    H69&lt;&gt;"",EDATE(H69,-0.25*L69),
    N69&lt;&gt;"",EDATE(N69,-0.25*L69),
    TRUE,""
)</f>
        <v/>
      </c>
      <c r="N69" s="45" t="str" cm="1">
        <f t="array" ref="N69">_xlfn.IFS(
    H69&lt;&gt;"", H69,
    COUNT(G69,I69)=2, (G69 + (DATEDIF(G69,I69,"d")*0.5)),
    COUNT(G69,J69)=2, (G69 + (DATEDIF(G69,J69,"d")*0.25)),
    COUNT(G69,K69)=2, (G69 + ((DATEDIF(G69,K69,"d")-90)*0.25)),
    COUNT(I69,J69)=2, (I69 -(DATEDIF(I69,J69,"d")*0.5)),
    COUNT(I69,K69)=2, (I69 -((DATEDIF(I69,K69,"d")-90)*0.5)),
    G69&lt;&gt;"", EDATE(G69, + L69*0.25),
    I69&lt;&gt;"", EDATE(I69, - L69*0.25),
    J69&lt;&gt;"", EDATE(J69, - L69*0.75),
    K69&lt;&gt;"", EDATE(K69, -((L69*0.75)+3)),
    TRUE, ""
)</f>
        <v/>
      </c>
      <c r="O69" s="45" t="str" cm="1">
        <f t="array" ref="O69">_xlfn.IFS(
    I69&lt;&gt;"", I69,
    COUNT(H69,J69)=2, (H69 + (DATEDIF(H69,J69,"d")*0.33)),
    COUNT(H69,K69)=2, (H69 + ((DATEDIF(H69,K69,"d")-90)*0.33)),
    COUNT(G69,J69)=2, (G69 +  DATEDIF(G69,J69,"d")*0.5),
    COUNT(G69,K69)=2, (G69 + (DATEDIF(G69,K69,"d")-90)*0.5),
    G69&lt;&gt;"", EDATE(G69, + L69*0.5),
    H69&lt;&gt;"", EDATE(H69, + L69*0.25),
    J69&lt;&gt;"", EDATE(J69, - L69*0.5),
    K69&lt;&gt;"", EDATE(K69, -((L69*0.5)+3)),
    TRUE, ""
)</f>
        <v/>
      </c>
      <c r="P69" s="45" t="str" cm="1">
        <f t="array" ref="P69">_xlfn.IFS(
    J69&lt;&gt;"", J69,
    K69&lt;&gt;"", EDATE(K69, -3),
    G69&lt;&gt;"", EDATE(G69, + L69),
    H69&lt;&gt;"", EDATE(H69, + L69*0.75),
    I69&lt;&gt;"", EDATE(I69, H L69*0.5),
    TRUE, ""
)</f>
        <v/>
      </c>
      <c r="Q69" s="45" t="str" cm="1">
        <f t="array" ref="Q69">_xlfn.IFS(
    K69&lt;&gt;"",K69,
    J69&lt;&gt;"",EDATE(J69,3),
    P69&lt;&gt;"",EDATE(P69,3),
    TRUE,""
)</f>
        <v/>
      </c>
    </row>
    <row r="70" spans="1:17" x14ac:dyDescent="0.3">
      <c r="A70" t="str">
        <f>IF(AND(Projects!A79="", Projects!B79=""), "", IF(Projects!A79="", "Unassigned", Projects!A79))</f>
        <v/>
      </c>
      <c r="B70" t="str">
        <f>IF(Projects!B79&lt;&gt;"",Projects!B79,"")</f>
        <v/>
      </c>
      <c r="C70" t="str">
        <f>IF(AND(Projects!C79="", Projects!B79=""), "", IF(Projects!C79="", "None", Projects!C79))</f>
        <v/>
      </c>
      <c r="D70" t="str">
        <f>IF(AND(Projects!D79="", Projects!B79=""), "", IF(Projects!D79="", "No OpCo", Projects!D79))</f>
        <v/>
      </c>
      <c r="E70" t="str">
        <f>IF(Projects!E79&lt;&gt;"",Projects!E79,"")</f>
        <v/>
      </c>
      <c r="F70" t="str">
        <f>IF(Projects!F79&lt;&gt;"",Projects!F79,"")</f>
        <v/>
      </c>
      <c r="G70" s="45" t="str">
        <f>IF(Projects!G79&lt;&gt;"",Projects!G79,"")</f>
        <v/>
      </c>
      <c r="H70" s="45" t="str">
        <f>IF(Projects!H79&lt;&gt;"",Projects!H79,"")</f>
        <v/>
      </c>
      <c r="I70" s="45" t="str">
        <f>IF(Projects!I79&lt;&gt;"",Projects!I79,"")</f>
        <v/>
      </c>
      <c r="J70" s="45" t="str">
        <f>IF(Projects!J79&lt;&gt;"",Projects!J79,"")</f>
        <v/>
      </c>
      <c r="K70" s="45" t="str">
        <f>IF(Projects!K79&lt;&gt;"",Projects!K79,"")</f>
        <v/>
      </c>
      <c r="L70" t="str">
        <f>IF(AND(Projects!E79&lt;&gt;"", Projects!F79&lt;&gt;""),
INDEX('Duration Table'!$D$7:$H$17,MATCH(Projects!E79,'Duration Table'!$C$7:$C$17,0),MATCH(Projects!F79,'Duration Table'!$D$6:$H$6)),
   ""
)</f>
        <v/>
      </c>
      <c r="M70" s="45" t="str" cm="1">
        <f t="array" ref="M70">_xlfn.IFS(
    G70&lt;&gt;"",G70,
    H70&lt;&gt;"",EDATE(H70,-0.25*L70),
    N70&lt;&gt;"",EDATE(N70,-0.25*L70),
    TRUE,""
)</f>
        <v/>
      </c>
      <c r="N70" s="45" t="str" cm="1">
        <f t="array" ref="N70">_xlfn.IFS(
    H70&lt;&gt;"", H70,
    COUNT(G70,I70)=2, (G70 + (DATEDIF(G70,I70,"d")*0.5)),
    COUNT(G70,J70)=2, (G70 + (DATEDIF(G70,J70,"d")*0.25)),
    COUNT(G70,K70)=2, (G70 + ((DATEDIF(G70,K70,"d")-90)*0.25)),
    COUNT(I70,J70)=2, (I70 -(DATEDIF(I70,J70,"d")*0.5)),
    COUNT(I70,K70)=2, (I70 -((DATEDIF(I70,K70,"d")-90)*0.5)),
    G70&lt;&gt;"", EDATE(G70, + L70*0.25),
    I70&lt;&gt;"", EDATE(I70, - L70*0.25),
    J70&lt;&gt;"", EDATE(J70, - L70*0.75),
    K70&lt;&gt;"", EDATE(K70, -((L70*0.75)+3)),
    TRUE, ""
)</f>
        <v/>
      </c>
      <c r="O70" s="45" t="str" cm="1">
        <f t="array" ref="O70">_xlfn.IFS(
    I70&lt;&gt;"", I70,
    COUNT(H70,J70)=2, (H70 + (DATEDIF(H70,J70,"d")*0.33)),
    COUNT(H70,K70)=2, (H70 + ((DATEDIF(H70,K70,"d")-90)*0.33)),
    COUNT(G70,J70)=2, (G70 +  DATEDIF(G70,J70,"d")*0.5),
    COUNT(G70,K70)=2, (G70 + (DATEDIF(G70,K70,"d")-90)*0.5),
    G70&lt;&gt;"", EDATE(G70, + L70*0.5),
    H70&lt;&gt;"", EDATE(H70, + L70*0.25),
    J70&lt;&gt;"", EDATE(J70, - L70*0.5),
    K70&lt;&gt;"", EDATE(K70, -((L70*0.5)+3)),
    TRUE, ""
)</f>
        <v/>
      </c>
      <c r="P70" s="45" t="str" cm="1">
        <f t="array" ref="P70">_xlfn.IFS(
    J70&lt;&gt;"", J70,
    K70&lt;&gt;"", EDATE(K70, -3),
    G70&lt;&gt;"", EDATE(G70, + L70),
    H70&lt;&gt;"", EDATE(H70, + L70*0.75),
    I70&lt;&gt;"", EDATE(I70, H L70*0.5),
    TRUE, ""
)</f>
        <v/>
      </c>
      <c r="Q70" s="45" t="str" cm="1">
        <f t="array" ref="Q70">_xlfn.IFS(
    K70&lt;&gt;"",K70,
    J70&lt;&gt;"",EDATE(J70,3),
    P70&lt;&gt;"",EDATE(P70,3),
    TRUE,""
)</f>
        <v/>
      </c>
    </row>
    <row r="71" spans="1:17" x14ac:dyDescent="0.3">
      <c r="A71" t="str">
        <f>IF(AND(Projects!A80="", Projects!B80=""), "", IF(Projects!A80="", "Unassigned", Projects!A80))</f>
        <v/>
      </c>
      <c r="B71" t="str">
        <f>IF(Projects!B80&lt;&gt;"",Projects!B80,"")</f>
        <v/>
      </c>
      <c r="C71" t="str">
        <f>IF(AND(Projects!C80="", Projects!B80=""), "", IF(Projects!C80="", "None", Projects!C80))</f>
        <v/>
      </c>
      <c r="D71" t="str">
        <f>IF(AND(Projects!D80="", Projects!B80=""), "", IF(Projects!D80="", "No OpCo", Projects!D80))</f>
        <v/>
      </c>
      <c r="E71" t="str">
        <f>IF(Projects!E80&lt;&gt;"",Projects!E80,"")</f>
        <v/>
      </c>
      <c r="F71" t="str">
        <f>IF(Projects!F80&lt;&gt;"",Projects!F80,"")</f>
        <v/>
      </c>
      <c r="G71" s="45" t="str">
        <f>IF(Projects!G80&lt;&gt;"",Projects!G80,"")</f>
        <v/>
      </c>
      <c r="H71" s="45" t="str">
        <f>IF(Projects!H80&lt;&gt;"",Projects!H80,"")</f>
        <v/>
      </c>
      <c r="I71" s="45" t="str">
        <f>IF(Projects!I80&lt;&gt;"",Projects!I80,"")</f>
        <v/>
      </c>
      <c r="J71" s="45" t="str">
        <f>IF(Projects!J80&lt;&gt;"",Projects!J80,"")</f>
        <v/>
      </c>
      <c r="K71" s="45" t="str">
        <f>IF(Projects!K80&lt;&gt;"",Projects!K80,"")</f>
        <v/>
      </c>
      <c r="L71" t="str">
        <f>IF(AND(Projects!E80&lt;&gt;"", Projects!F80&lt;&gt;""),
INDEX('Duration Table'!$D$7:$H$17,MATCH(Projects!E80,'Duration Table'!$C$7:$C$17,0),MATCH(Projects!F80,'Duration Table'!$D$6:$H$6)),
   ""
)</f>
        <v/>
      </c>
      <c r="M71" s="45" t="str" cm="1">
        <f t="array" ref="M71">_xlfn.IFS(
    G71&lt;&gt;"",G71,
    H71&lt;&gt;"",EDATE(H71,-0.25*L71),
    N71&lt;&gt;"",EDATE(N71,-0.25*L71),
    TRUE,""
)</f>
        <v/>
      </c>
      <c r="N71" s="45" t="str" cm="1">
        <f t="array" ref="N71">_xlfn.IFS(
    H71&lt;&gt;"", H71,
    COUNT(G71,I71)=2, (G71 + (DATEDIF(G71,I71,"d")*0.5)),
    COUNT(G71,J71)=2, (G71 + (DATEDIF(G71,J71,"d")*0.25)),
    COUNT(G71,K71)=2, (G71 + ((DATEDIF(G71,K71,"d")-90)*0.25)),
    COUNT(I71,J71)=2, (I71 -(DATEDIF(I71,J71,"d")*0.5)),
    COUNT(I71,K71)=2, (I71 -((DATEDIF(I71,K71,"d")-90)*0.5)),
    G71&lt;&gt;"", EDATE(G71, + L71*0.25),
    I71&lt;&gt;"", EDATE(I71, - L71*0.25),
    J71&lt;&gt;"", EDATE(J71, - L71*0.75),
    K71&lt;&gt;"", EDATE(K71, -((L71*0.75)+3)),
    TRUE, ""
)</f>
        <v/>
      </c>
      <c r="O71" s="45" t="str" cm="1">
        <f t="array" ref="O71">_xlfn.IFS(
    I71&lt;&gt;"", I71,
    COUNT(H71,J71)=2, (H71 + (DATEDIF(H71,J71,"d")*0.33)),
    COUNT(H71,K71)=2, (H71 + ((DATEDIF(H71,K71,"d")-90)*0.33)),
    COUNT(G71,J71)=2, (G71 +  DATEDIF(G71,J71,"d")*0.5),
    COUNT(G71,K71)=2, (G71 + (DATEDIF(G71,K71,"d")-90)*0.5),
    G71&lt;&gt;"", EDATE(G71, + L71*0.5),
    H71&lt;&gt;"", EDATE(H71, + L71*0.25),
    J71&lt;&gt;"", EDATE(J71, - L71*0.5),
    K71&lt;&gt;"", EDATE(K71, -((L71*0.5)+3)),
    TRUE, ""
)</f>
        <v/>
      </c>
      <c r="P71" s="45" t="str" cm="1">
        <f t="array" ref="P71">_xlfn.IFS(
    J71&lt;&gt;"", J71,
    K71&lt;&gt;"", EDATE(K71, -3),
    G71&lt;&gt;"", EDATE(G71, + L71),
    H71&lt;&gt;"", EDATE(H71, + L71*0.75),
    I71&lt;&gt;"", EDATE(I71, H L71*0.5),
    TRUE, ""
)</f>
        <v/>
      </c>
      <c r="Q71" s="45" t="str" cm="1">
        <f t="array" ref="Q71">_xlfn.IFS(
    K71&lt;&gt;"",K71,
    J71&lt;&gt;"",EDATE(J71,3),
    P71&lt;&gt;"",EDATE(P71,3),
    TRUE,""
)</f>
        <v/>
      </c>
    </row>
    <row r="72" spans="1:17" x14ac:dyDescent="0.3">
      <c r="A72" t="str">
        <f>IF(AND(Projects!A81="", Projects!B81=""), "", IF(Projects!A81="", "Unassigned", Projects!A81))</f>
        <v/>
      </c>
      <c r="B72" t="str">
        <f>IF(Projects!B81&lt;&gt;"",Projects!B81,"")</f>
        <v/>
      </c>
      <c r="C72" t="str">
        <f>IF(AND(Projects!C81="", Projects!B81=""), "", IF(Projects!C81="", "None", Projects!C81))</f>
        <v/>
      </c>
      <c r="D72" t="str">
        <f>IF(AND(Projects!D81="", Projects!B81=""), "", IF(Projects!D81="", "No OpCo", Projects!D81))</f>
        <v/>
      </c>
      <c r="E72" t="str">
        <f>IF(Projects!E81&lt;&gt;"",Projects!E81,"")</f>
        <v/>
      </c>
      <c r="F72" t="str">
        <f>IF(Projects!F81&lt;&gt;"",Projects!F81,"")</f>
        <v/>
      </c>
      <c r="G72" s="45" t="str">
        <f>IF(Projects!G81&lt;&gt;"",Projects!G81,"")</f>
        <v/>
      </c>
      <c r="H72" s="45" t="str">
        <f>IF(Projects!H81&lt;&gt;"",Projects!H81,"")</f>
        <v/>
      </c>
      <c r="I72" s="45" t="str">
        <f>IF(Projects!I81&lt;&gt;"",Projects!I81,"")</f>
        <v/>
      </c>
      <c r="J72" s="45" t="str">
        <f>IF(Projects!J81&lt;&gt;"",Projects!J81,"")</f>
        <v/>
      </c>
      <c r="K72" s="45" t="str">
        <f>IF(Projects!K81&lt;&gt;"",Projects!K81,"")</f>
        <v/>
      </c>
      <c r="L72" t="str">
        <f>IF(AND(Projects!E81&lt;&gt;"", Projects!F81&lt;&gt;""),
INDEX('Duration Table'!$D$7:$H$17,MATCH(Projects!E81,'Duration Table'!$C$7:$C$17,0),MATCH(Projects!F81,'Duration Table'!$D$6:$H$6)),
   ""
)</f>
        <v/>
      </c>
      <c r="M72" s="45" t="str" cm="1">
        <f t="array" ref="M72">_xlfn.IFS(
    G72&lt;&gt;"",G72,
    H72&lt;&gt;"",EDATE(H72,-0.25*L72),
    N72&lt;&gt;"",EDATE(N72,-0.25*L72),
    TRUE,""
)</f>
        <v/>
      </c>
      <c r="N72" s="45" t="str" cm="1">
        <f t="array" ref="N72">_xlfn.IFS(
    H72&lt;&gt;"", H72,
    COUNT(G72,I72)=2, (G72 + (DATEDIF(G72,I72,"d")*0.5)),
    COUNT(G72,J72)=2, (G72 + (DATEDIF(G72,J72,"d")*0.25)),
    COUNT(G72,K72)=2, (G72 + ((DATEDIF(G72,K72,"d")-90)*0.25)),
    COUNT(I72,J72)=2, (I72 -(DATEDIF(I72,J72,"d")*0.5)),
    COUNT(I72,K72)=2, (I72 -((DATEDIF(I72,K72,"d")-90)*0.5)),
    G72&lt;&gt;"", EDATE(G72, + L72*0.25),
    I72&lt;&gt;"", EDATE(I72, - L72*0.25),
    J72&lt;&gt;"", EDATE(J72, - L72*0.75),
    K72&lt;&gt;"", EDATE(K72, -((L72*0.75)+3)),
    TRUE, ""
)</f>
        <v/>
      </c>
      <c r="O72" s="45" t="str" cm="1">
        <f t="array" ref="O72">_xlfn.IFS(
    I72&lt;&gt;"", I72,
    COUNT(H72,J72)=2, (H72 + (DATEDIF(H72,J72,"d")*0.33)),
    COUNT(H72,K72)=2, (H72 + ((DATEDIF(H72,K72,"d")-90)*0.33)),
    COUNT(G72,J72)=2, (G72 +  DATEDIF(G72,J72,"d")*0.5),
    COUNT(G72,K72)=2, (G72 + (DATEDIF(G72,K72,"d")-90)*0.5),
    G72&lt;&gt;"", EDATE(G72, + L72*0.5),
    H72&lt;&gt;"", EDATE(H72, + L72*0.25),
    J72&lt;&gt;"", EDATE(J72, - L72*0.5),
    K72&lt;&gt;"", EDATE(K72, -((L72*0.5)+3)),
    TRUE, ""
)</f>
        <v/>
      </c>
      <c r="P72" s="45" t="str" cm="1">
        <f t="array" ref="P72">_xlfn.IFS(
    J72&lt;&gt;"", J72,
    K72&lt;&gt;"", EDATE(K72, -3),
    G72&lt;&gt;"", EDATE(G72, + L72),
    H72&lt;&gt;"", EDATE(H72, + L72*0.75),
    I72&lt;&gt;"", EDATE(I72, H L72*0.5),
    TRUE, ""
)</f>
        <v/>
      </c>
      <c r="Q72" s="45" t="str" cm="1">
        <f t="array" ref="Q72">_xlfn.IFS(
    K72&lt;&gt;"",K72,
    J72&lt;&gt;"",EDATE(J72,3),
    P72&lt;&gt;"",EDATE(P72,3),
    TRUE,""
)</f>
        <v/>
      </c>
    </row>
    <row r="73" spans="1:17" x14ac:dyDescent="0.3">
      <c r="A73" t="str">
        <f>IF(AND(Projects!A82="", Projects!B82=""), "", IF(Projects!A82="", "Unassigned", Projects!A82))</f>
        <v/>
      </c>
      <c r="B73" t="str">
        <f>IF(Projects!B82&lt;&gt;"",Projects!B82,"")</f>
        <v/>
      </c>
      <c r="C73" t="str">
        <f>IF(AND(Projects!C82="", Projects!B82=""), "", IF(Projects!C82="", "None", Projects!C82))</f>
        <v/>
      </c>
      <c r="D73" t="str">
        <f>IF(AND(Projects!D82="", Projects!B82=""), "", IF(Projects!D82="", "No OpCo", Projects!D82))</f>
        <v/>
      </c>
      <c r="E73" t="str">
        <f>IF(Projects!E82&lt;&gt;"",Projects!E82,"")</f>
        <v/>
      </c>
      <c r="F73" t="str">
        <f>IF(Projects!F82&lt;&gt;"",Projects!F82,"")</f>
        <v/>
      </c>
      <c r="G73" s="45" t="str">
        <f>IF(Projects!G82&lt;&gt;"",Projects!G82,"")</f>
        <v/>
      </c>
      <c r="H73" s="45" t="str">
        <f>IF(Projects!H82&lt;&gt;"",Projects!H82,"")</f>
        <v/>
      </c>
      <c r="I73" s="45" t="str">
        <f>IF(Projects!I82&lt;&gt;"",Projects!I82,"")</f>
        <v/>
      </c>
      <c r="J73" s="45" t="str">
        <f>IF(Projects!J82&lt;&gt;"",Projects!J82,"")</f>
        <v/>
      </c>
      <c r="K73" s="45" t="str">
        <f>IF(Projects!K82&lt;&gt;"",Projects!K82,"")</f>
        <v/>
      </c>
      <c r="L73" t="str">
        <f>IF(AND(Projects!E82&lt;&gt;"", Projects!F82&lt;&gt;""),
INDEX('Duration Table'!$D$7:$H$17,MATCH(Projects!E82,'Duration Table'!$C$7:$C$17,0),MATCH(Projects!F82,'Duration Table'!$D$6:$H$6)),
   ""
)</f>
        <v/>
      </c>
      <c r="M73" s="45" t="str" cm="1">
        <f t="array" ref="M73">_xlfn.IFS(
    G73&lt;&gt;"",G73,
    H73&lt;&gt;"",EDATE(H73,-0.25*L73),
    N73&lt;&gt;"",EDATE(N73,-0.25*L73),
    TRUE,""
)</f>
        <v/>
      </c>
      <c r="N73" s="45" t="str" cm="1">
        <f t="array" ref="N73">_xlfn.IFS(
    H73&lt;&gt;"", H73,
    COUNT(G73,I73)=2, (G73 + (DATEDIF(G73,I73,"d")*0.5)),
    COUNT(G73,J73)=2, (G73 + (DATEDIF(G73,J73,"d")*0.25)),
    COUNT(G73,K73)=2, (G73 + ((DATEDIF(G73,K73,"d")-90)*0.25)),
    COUNT(I73,J73)=2, (I73 -(DATEDIF(I73,J73,"d")*0.5)),
    COUNT(I73,K73)=2, (I73 -((DATEDIF(I73,K73,"d")-90)*0.5)),
    G73&lt;&gt;"", EDATE(G73, + L73*0.25),
    I73&lt;&gt;"", EDATE(I73, - L73*0.25),
    J73&lt;&gt;"", EDATE(J73, - L73*0.75),
    K73&lt;&gt;"", EDATE(K73, -((L73*0.75)+3)),
    TRUE, ""
)</f>
        <v/>
      </c>
      <c r="O73" s="45" t="str" cm="1">
        <f t="array" ref="O73">_xlfn.IFS(
    I73&lt;&gt;"", I73,
    COUNT(H73,J73)=2, (H73 + (DATEDIF(H73,J73,"d")*0.33)),
    COUNT(H73,K73)=2, (H73 + ((DATEDIF(H73,K73,"d")-90)*0.33)),
    COUNT(G73,J73)=2, (G73 +  DATEDIF(G73,J73,"d")*0.5),
    COUNT(G73,K73)=2, (G73 + (DATEDIF(G73,K73,"d")-90)*0.5),
    G73&lt;&gt;"", EDATE(G73, + L73*0.5),
    H73&lt;&gt;"", EDATE(H73, + L73*0.25),
    J73&lt;&gt;"", EDATE(J73, - L73*0.5),
    K73&lt;&gt;"", EDATE(K73, -((L73*0.5)+3)),
    TRUE, ""
)</f>
        <v/>
      </c>
      <c r="P73" s="45" t="str" cm="1">
        <f t="array" ref="P73">_xlfn.IFS(
    J73&lt;&gt;"", J73,
    K73&lt;&gt;"", EDATE(K73, -3),
    G73&lt;&gt;"", EDATE(G73, + L73),
    H73&lt;&gt;"", EDATE(H73, + L73*0.75),
    I73&lt;&gt;"", EDATE(I73, H L73*0.5),
    TRUE, ""
)</f>
        <v/>
      </c>
      <c r="Q73" s="45" t="str" cm="1">
        <f t="array" ref="Q73">_xlfn.IFS(
    K73&lt;&gt;"",K73,
    J73&lt;&gt;"",EDATE(J73,3),
    P73&lt;&gt;"",EDATE(P73,3),
    TRUE,""
)</f>
        <v/>
      </c>
    </row>
    <row r="74" spans="1:17" x14ac:dyDescent="0.3">
      <c r="A74" t="str">
        <f>IF(AND(Projects!A83="", Projects!B83=""), "", IF(Projects!A83="", "Unassigned", Projects!A83))</f>
        <v/>
      </c>
      <c r="B74" t="str">
        <f>IF(Projects!B83&lt;&gt;"",Projects!B83,"")</f>
        <v/>
      </c>
      <c r="C74" t="str">
        <f>IF(AND(Projects!C83="", Projects!B83=""), "", IF(Projects!C83="", "None", Projects!C83))</f>
        <v/>
      </c>
      <c r="D74" t="str">
        <f>IF(AND(Projects!D83="", Projects!B83=""), "", IF(Projects!D83="", "No OpCo", Projects!D83))</f>
        <v/>
      </c>
      <c r="E74" t="str">
        <f>IF(Projects!E83&lt;&gt;"",Projects!E83,"")</f>
        <v/>
      </c>
      <c r="F74" t="str">
        <f>IF(Projects!F83&lt;&gt;"",Projects!F83,"")</f>
        <v/>
      </c>
      <c r="G74" s="45" t="str">
        <f>IF(Projects!G83&lt;&gt;"",Projects!G83,"")</f>
        <v/>
      </c>
      <c r="H74" s="45" t="str">
        <f>IF(Projects!H83&lt;&gt;"",Projects!H83,"")</f>
        <v/>
      </c>
      <c r="I74" s="45" t="str">
        <f>IF(Projects!I83&lt;&gt;"",Projects!I83,"")</f>
        <v/>
      </c>
      <c r="J74" s="45" t="str">
        <f>IF(Projects!J83&lt;&gt;"",Projects!J83,"")</f>
        <v/>
      </c>
      <c r="K74" s="45" t="str">
        <f>IF(Projects!K83&lt;&gt;"",Projects!K83,"")</f>
        <v/>
      </c>
      <c r="L74" t="str">
        <f>IF(AND(Projects!E83&lt;&gt;"", Projects!F83&lt;&gt;""),
INDEX('Duration Table'!$D$7:$H$17,MATCH(Projects!E83,'Duration Table'!$C$7:$C$17,0),MATCH(Projects!F83,'Duration Table'!$D$6:$H$6)),
   ""
)</f>
        <v/>
      </c>
      <c r="M74" s="45" t="str" cm="1">
        <f t="array" ref="M74">_xlfn.IFS(
    G74&lt;&gt;"",G74,
    H74&lt;&gt;"",EDATE(H74,-0.25*L74),
    N74&lt;&gt;"",EDATE(N74,-0.25*L74),
    TRUE,""
)</f>
        <v/>
      </c>
      <c r="N74" s="45" t="str" cm="1">
        <f t="array" ref="N74">_xlfn.IFS(
    H74&lt;&gt;"", H74,
    COUNT(G74,I74)=2, (G74 + (DATEDIF(G74,I74,"d")*0.5)),
    COUNT(G74,J74)=2, (G74 + (DATEDIF(G74,J74,"d")*0.25)),
    COUNT(G74,K74)=2, (G74 + ((DATEDIF(G74,K74,"d")-90)*0.25)),
    COUNT(I74,J74)=2, (I74 -(DATEDIF(I74,J74,"d")*0.5)),
    COUNT(I74,K74)=2, (I74 -((DATEDIF(I74,K74,"d")-90)*0.5)),
    G74&lt;&gt;"", EDATE(G74, + L74*0.25),
    I74&lt;&gt;"", EDATE(I74, - L74*0.25),
    J74&lt;&gt;"", EDATE(J74, - L74*0.75),
    K74&lt;&gt;"", EDATE(K74, -((L74*0.75)+3)),
    TRUE, ""
)</f>
        <v/>
      </c>
      <c r="O74" s="45" t="str" cm="1">
        <f t="array" ref="O74">_xlfn.IFS(
    I74&lt;&gt;"", I74,
    COUNT(H74,J74)=2, (H74 + (DATEDIF(H74,J74,"d")*0.33)),
    COUNT(H74,K74)=2, (H74 + ((DATEDIF(H74,K74,"d")-90)*0.33)),
    COUNT(G74,J74)=2, (G74 +  DATEDIF(G74,J74,"d")*0.5),
    COUNT(G74,K74)=2, (G74 + (DATEDIF(G74,K74,"d")-90)*0.5),
    G74&lt;&gt;"", EDATE(G74, + L74*0.5),
    H74&lt;&gt;"", EDATE(H74, + L74*0.25),
    J74&lt;&gt;"", EDATE(J74, - L74*0.5),
    K74&lt;&gt;"", EDATE(K74, -((L74*0.5)+3)),
    TRUE, ""
)</f>
        <v/>
      </c>
      <c r="P74" s="45" t="str" cm="1">
        <f t="array" ref="P74">_xlfn.IFS(
    J74&lt;&gt;"", J74,
    K74&lt;&gt;"", EDATE(K74, -3),
    G74&lt;&gt;"", EDATE(G74, + L74),
    H74&lt;&gt;"", EDATE(H74, + L74*0.75),
    I74&lt;&gt;"", EDATE(I74, H L74*0.5),
    TRUE, ""
)</f>
        <v/>
      </c>
      <c r="Q74" s="45" t="str" cm="1">
        <f t="array" ref="Q74">_xlfn.IFS(
    K74&lt;&gt;"",K74,
    J74&lt;&gt;"",EDATE(J74,3),
    P74&lt;&gt;"",EDATE(P74,3),
    TRUE,""
)</f>
        <v/>
      </c>
    </row>
    <row r="75" spans="1:17" x14ac:dyDescent="0.3">
      <c r="A75" t="str">
        <f>IF(AND(Projects!A84="", Projects!B84=""), "", IF(Projects!A84="", "Unassigned", Projects!A84))</f>
        <v/>
      </c>
      <c r="B75" t="str">
        <f>IF(Projects!B84&lt;&gt;"",Projects!B84,"")</f>
        <v/>
      </c>
      <c r="C75" t="str">
        <f>IF(AND(Projects!C84="", Projects!B84=""), "", IF(Projects!C84="", "None", Projects!C84))</f>
        <v/>
      </c>
      <c r="D75" t="str">
        <f>IF(AND(Projects!D84="", Projects!B84=""), "", IF(Projects!D84="", "No OpCo", Projects!D84))</f>
        <v/>
      </c>
      <c r="E75" t="str">
        <f>IF(Projects!E84&lt;&gt;"",Projects!E84,"")</f>
        <v/>
      </c>
      <c r="F75" t="str">
        <f>IF(Projects!F84&lt;&gt;"",Projects!F84,"")</f>
        <v/>
      </c>
      <c r="G75" s="45" t="str">
        <f>IF(Projects!G84&lt;&gt;"",Projects!G84,"")</f>
        <v/>
      </c>
      <c r="H75" s="45" t="str">
        <f>IF(Projects!H84&lt;&gt;"",Projects!H84,"")</f>
        <v/>
      </c>
      <c r="I75" s="45" t="str">
        <f>IF(Projects!I84&lt;&gt;"",Projects!I84,"")</f>
        <v/>
      </c>
      <c r="J75" s="45" t="str">
        <f>IF(Projects!J84&lt;&gt;"",Projects!J84,"")</f>
        <v/>
      </c>
      <c r="K75" s="45" t="str">
        <f>IF(Projects!K84&lt;&gt;"",Projects!K84,"")</f>
        <v/>
      </c>
      <c r="L75" t="str">
        <f>IF(AND(Projects!E84&lt;&gt;"", Projects!F84&lt;&gt;""),
INDEX('Duration Table'!$D$7:$H$17,MATCH(Projects!E84,'Duration Table'!$C$7:$C$17,0),MATCH(Projects!F84,'Duration Table'!$D$6:$H$6)),
   ""
)</f>
        <v/>
      </c>
      <c r="M75" s="45" t="str" cm="1">
        <f t="array" ref="M75">_xlfn.IFS(
    G75&lt;&gt;"",G75,
    H75&lt;&gt;"",EDATE(H75,-0.25*L75),
    N75&lt;&gt;"",EDATE(N75,-0.25*L75),
    TRUE,""
)</f>
        <v/>
      </c>
      <c r="N75" s="45" t="str" cm="1">
        <f t="array" ref="N75">_xlfn.IFS(
    H75&lt;&gt;"", H75,
    COUNT(G75,I75)=2, (G75 + (DATEDIF(G75,I75,"d")*0.5)),
    COUNT(G75,J75)=2, (G75 + (DATEDIF(G75,J75,"d")*0.25)),
    COUNT(G75,K75)=2, (G75 + ((DATEDIF(G75,K75,"d")-90)*0.25)),
    COUNT(I75,J75)=2, (I75 -(DATEDIF(I75,J75,"d")*0.5)),
    COUNT(I75,K75)=2, (I75 -((DATEDIF(I75,K75,"d")-90)*0.5)),
    G75&lt;&gt;"", EDATE(G75, + L75*0.25),
    I75&lt;&gt;"", EDATE(I75, - L75*0.25),
    J75&lt;&gt;"", EDATE(J75, - L75*0.75),
    K75&lt;&gt;"", EDATE(K75, -((L75*0.75)+3)),
    TRUE, ""
)</f>
        <v/>
      </c>
      <c r="O75" s="45" t="str" cm="1">
        <f t="array" ref="O75">_xlfn.IFS(
    I75&lt;&gt;"", I75,
    COUNT(H75,J75)=2, (H75 + (DATEDIF(H75,J75,"d")*0.33)),
    COUNT(H75,K75)=2, (H75 + ((DATEDIF(H75,K75,"d")-90)*0.33)),
    COUNT(G75,J75)=2, (G75 +  DATEDIF(G75,J75,"d")*0.5),
    COUNT(G75,K75)=2, (G75 + (DATEDIF(G75,K75,"d")-90)*0.5),
    G75&lt;&gt;"", EDATE(G75, + L75*0.5),
    H75&lt;&gt;"", EDATE(H75, + L75*0.25),
    J75&lt;&gt;"", EDATE(J75, - L75*0.5),
    K75&lt;&gt;"", EDATE(K75, -((L75*0.5)+3)),
    TRUE, ""
)</f>
        <v/>
      </c>
      <c r="P75" s="45" t="str" cm="1">
        <f t="array" ref="P75">_xlfn.IFS(
    J75&lt;&gt;"", J75,
    K75&lt;&gt;"", EDATE(K75, -3),
    G75&lt;&gt;"", EDATE(G75, + L75),
    H75&lt;&gt;"", EDATE(H75, + L75*0.75),
    I75&lt;&gt;"", EDATE(I75, H L75*0.5),
    TRUE, ""
)</f>
        <v/>
      </c>
      <c r="Q75" s="45" t="str" cm="1">
        <f t="array" ref="Q75">_xlfn.IFS(
    K75&lt;&gt;"",K75,
    J75&lt;&gt;"",EDATE(J75,3),
    P75&lt;&gt;"",EDATE(P75,3),
    TRUE,""
)</f>
        <v/>
      </c>
    </row>
    <row r="76" spans="1:17" x14ac:dyDescent="0.3">
      <c r="A76" t="str">
        <f>IF(AND(Projects!A85="", Projects!B85=""), "", IF(Projects!A85="", "Unassigned", Projects!A85))</f>
        <v/>
      </c>
      <c r="B76" t="str">
        <f>IF(Projects!B85&lt;&gt;"",Projects!B85,"")</f>
        <v/>
      </c>
      <c r="C76" t="str">
        <f>IF(AND(Projects!C85="", Projects!B85=""), "", IF(Projects!C85="", "None", Projects!C85))</f>
        <v/>
      </c>
      <c r="D76" t="str">
        <f>IF(AND(Projects!D85="", Projects!B85=""), "", IF(Projects!D85="", "No OpCo", Projects!D85))</f>
        <v/>
      </c>
      <c r="E76" t="str">
        <f>IF(Projects!E85&lt;&gt;"",Projects!E85,"")</f>
        <v/>
      </c>
      <c r="F76" t="str">
        <f>IF(Projects!F85&lt;&gt;"",Projects!F85,"")</f>
        <v/>
      </c>
      <c r="G76" s="45" t="str">
        <f>IF(Projects!G85&lt;&gt;"",Projects!G85,"")</f>
        <v/>
      </c>
      <c r="H76" s="45" t="str">
        <f>IF(Projects!H85&lt;&gt;"",Projects!H85,"")</f>
        <v/>
      </c>
      <c r="I76" s="45" t="str">
        <f>IF(Projects!I85&lt;&gt;"",Projects!I85,"")</f>
        <v/>
      </c>
      <c r="J76" s="45" t="str">
        <f>IF(Projects!J85&lt;&gt;"",Projects!J85,"")</f>
        <v/>
      </c>
      <c r="K76" s="45" t="str">
        <f>IF(Projects!K85&lt;&gt;"",Projects!K85,"")</f>
        <v/>
      </c>
      <c r="L76" t="str">
        <f>IF(AND(Projects!E85&lt;&gt;"", Projects!F85&lt;&gt;""),
INDEX('Duration Table'!$D$7:$H$17,MATCH(Projects!E85,'Duration Table'!$C$7:$C$17,0),MATCH(Projects!F85,'Duration Table'!$D$6:$H$6)),
   ""
)</f>
        <v/>
      </c>
      <c r="M76" s="45" t="str" cm="1">
        <f t="array" ref="M76">_xlfn.IFS(
    G76&lt;&gt;"",G76,
    H76&lt;&gt;"",EDATE(H76,-0.25*L76),
    N76&lt;&gt;"",EDATE(N76,-0.25*L76),
    TRUE,""
)</f>
        <v/>
      </c>
      <c r="N76" s="45" t="str" cm="1">
        <f t="array" ref="N76">_xlfn.IFS(
    H76&lt;&gt;"", H76,
    COUNT(G76,I76)=2, (G76 + (DATEDIF(G76,I76,"d")*0.5)),
    COUNT(G76,J76)=2, (G76 + (DATEDIF(G76,J76,"d")*0.25)),
    COUNT(G76,K76)=2, (G76 + ((DATEDIF(G76,K76,"d")-90)*0.25)),
    COUNT(I76,J76)=2, (I76 -(DATEDIF(I76,J76,"d")*0.5)),
    COUNT(I76,K76)=2, (I76 -((DATEDIF(I76,K76,"d")-90)*0.5)),
    G76&lt;&gt;"", EDATE(G76, + L76*0.25),
    I76&lt;&gt;"", EDATE(I76, - L76*0.25),
    J76&lt;&gt;"", EDATE(J76, - L76*0.75),
    K76&lt;&gt;"", EDATE(K76, -((L76*0.75)+3)),
    TRUE, ""
)</f>
        <v/>
      </c>
      <c r="O76" s="45" t="str" cm="1">
        <f t="array" ref="O76">_xlfn.IFS(
    I76&lt;&gt;"", I76,
    COUNT(H76,J76)=2, (H76 + (DATEDIF(H76,J76,"d")*0.33)),
    COUNT(H76,K76)=2, (H76 + ((DATEDIF(H76,K76,"d")-90)*0.33)),
    COUNT(G76,J76)=2, (G76 +  DATEDIF(G76,J76,"d")*0.5),
    COUNT(G76,K76)=2, (G76 + (DATEDIF(G76,K76,"d")-90)*0.5),
    G76&lt;&gt;"", EDATE(G76, + L76*0.5),
    H76&lt;&gt;"", EDATE(H76, + L76*0.25),
    J76&lt;&gt;"", EDATE(J76, - L76*0.5),
    K76&lt;&gt;"", EDATE(K76, -((L76*0.5)+3)),
    TRUE, ""
)</f>
        <v/>
      </c>
      <c r="P76" s="45" t="str" cm="1">
        <f t="array" ref="P76">_xlfn.IFS(
    J76&lt;&gt;"", J76,
    K76&lt;&gt;"", EDATE(K76, -3),
    G76&lt;&gt;"", EDATE(G76, + L76),
    H76&lt;&gt;"", EDATE(H76, + L76*0.75),
    I76&lt;&gt;"", EDATE(I76, H L76*0.5),
    TRUE, ""
)</f>
        <v/>
      </c>
      <c r="Q76" s="45" t="str" cm="1">
        <f t="array" ref="Q76">_xlfn.IFS(
    K76&lt;&gt;"",K76,
    J76&lt;&gt;"",EDATE(J76,3),
    P76&lt;&gt;"",EDATE(P76,3),
    TRUE,""
)</f>
        <v/>
      </c>
    </row>
    <row r="77" spans="1:17" x14ac:dyDescent="0.3">
      <c r="A77" t="str">
        <f>IF(AND(Projects!A86="", Projects!B86=""), "", IF(Projects!A86="", "Unassigned", Projects!A86))</f>
        <v/>
      </c>
      <c r="B77" t="str">
        <f>IF(Projects!B86&lt;&gt;"",Projects!B86,"")</f>
        <v/>
      </c>
      <c r="C77" t="str">
        <f>IF(AND(Projects!C86="", Projects!B86=""), "", IF(Projects!C86="", "None", Projects!C86))</f>
        <v/>
      </c>
      <c r="D77" t="str">
        <f>IF(AND(Projects!D86="", Projects!B86=""), "", IF(Projects!D86="", "No OpCo", Projects!D86))</f>
        <v/>
      </c>
      <c r="E77" t="str">
        <f>IF(Projects!E86&lt;&gt;"",Projects!E86,"")</f>
        <v/>
      </c>
      <c r="F77" t="str">
        <f>IF(Projects!F86&lt;&gt;"",Projects!F86,"")</f>
        <v/>
      </c>
      <c r="G77" s="45" t="str">
        <f>IF(Projects!G86&lt;&gt;"",Projects!G86,"")</f>
        <v/>
      </c>
      <c r="H77" s="45" t="str">
        <f>IF(Projects!H86&lt;&gt;"",Projects!H86,"")</f>
        <v/>
      </c>
      <c r="I77" s="45" t="str">
        <f>IF(Projects!I86&lt;&gt;"",Projects!I86,"")</f>
        <v/>
      </c>
      <c r="J77" s="45" t="str">
        <f>IF(Projects!J86&lt;&gt;"",Projects!J86,"")</f>
        <v/>
      </c>
      <c r="K77" s="45" t="str">
        <f>IF(Projects!K86&lt;&gt;"",Projects!K86,"")</f>
        <v/>
      </c>
      <c r="L77" t="str">
        <f>IF(AND(Projects!E86&lt;&gt;"", Projects!F86&lt;&gt;""),
INDEX('Duration Table'!$D$7:$H$17,MATCH(Projects!E86,'Duration Table'!$C$7:$C$17,0),MATCH(Projects!F86,'Duration Table'!$D$6:$H$6)),
   ""
)</f>
        <v/>
      </c>
      <c r="M77" s="45" t="str" cm="1">
        <f t="array" ref="M77">_xlfn.IFS(
    G77&lt;&gt;"",G77,
    H77&lt;&gt;"",EDATE(H77,-0.25*L77),
    N77&lt;&gt;"",EDATE(N77,-0.25*L77),
    TRUE,""
)</f>
        <v/>
      </c>
      <c r="N77" s="45" t="str" cm="1">
        <f t="array" ref="N77">_xlfn.IFS(
    H77&lt;&gt;"", H77,
    COUNT(G77,I77)=2, (G77 + (DATEDIF(G77,I77,"d")*0.5)),
    COUNT(G77,J77)=2, (G77 + (DATEDIF(G77,J77,"d")*0.25)),
    COUNT(G77,K77)=2, (G77 + ((DATEDIF(G77,K77,"d")-90)*0.25)),
    COUNT(I77,J77)=2, (I77 -(DATEDIF(I77,J77,"d")*0.5)),
    COUNT(I77,K77)=2, (I77 -((DATEDIF(I77,K77,"d")-90)*0.5)),
    G77&lt;&gt;"", EDATE(G77, + L77*0.25),
    I77&lt;&gt;"", EDATE(I77, - L77*0.25),
    J77&lt;&gt;"", EDATE(J77, - L77*0.75),
    K77&lt;&gt;"", EDATE(K77, -((L77*0.75)+3)),
    TRUE, ""
)</f>
        <v/>
      </c>
      <c r="O77" s="45" t="str" cm="1">
        <f t="array" ref="O77">_xlfn.IFS(
    I77&lt;&gt;"", I77,
    COUNT(H77,J77)=2, (H77 + (DATEDIF(H77,J77,"d")*0.33)),
    COUNT(H77,K77)=2, (H77 + ((DATEDIF(H77,K77,"d")-90)*0.33)),
    COUNT(G77,J77)=2, (G77 +  DATEDIF(G77,J77,"d")*0.5),
    COUNT(G77,K77)=2, (G77 + (DATEDIF(G77,K77,"d")-90)*0.5),
    G77&lt;&gt;"", EDATE(G77, + L77*0.5),
    H77&lt;&gt;"", EDATE(H77, + L77*0.25),
    J77&lt;&gt;"", EDATE(J77, - L77*0.5),
    K77&lt;&gt;"", EDATE(K77, -((L77*0.5)+3)),
    TRUE, ""
)</f>
        <v/>
      </c>
      <c r="P77" s="45" t="str" cm="1">
        <f t="array" ref="P77">_xlfn.IFS(
    J77&lt;&gt;"", J77,
    K77&lt;&gt;"", EDATE(K77, -3),
    G77&lt;&gt;"", EDATE(G77, + L77),
    H77&lt;&gt;"", EDATE(H77, + L77*0.75),
    I77&lt;&gt;"", EDATE(I77, H L77*0.5),
    TRUE, ""
)</f>
        <v/>
      </c>
      <c r="Q77" s="45" t="str" cm="1">
        <f t="array" ref="Q77">_xlfn.IFS(
    K77&lt;&gt;"",K77,
    J77&lt;&gt;"",EDATE(J77,3),
    P77&lt;&gt;"",EDATE(P77,3),
    TRUE,""
)</f>
        <v/>
      </c>
    </row>
    <row r="78" spans="1:17" x14ac:dyDescent="0.3">
      <c r="A78" t="str">
        <f>IF(AND(Projects!A87="", Projects!B87=""), "", IF(Projects!A87="", "Unassigned", Projects!A87))</f>
        <v/>
      </c>
      <c r="B78" t="str">
        <f>IF(Projects!B87&lt;&gt;"",Projects!B87,"")</f>
        <v/>
      </c>
      <c r="C78" t="str">
        <f>IF(AND(Projects!C87="", Projects!B87=""), "", IF(Projects!C87="", "None", Projects!C87))</f>
        <v/>
      </c>
      <c r="D78" t="str">
        <f>IF(AND(Projects!D87="", Projects!B87=""), "", IF(Projects!D87="", "No OpCo", Projects!D87))</f>
        <v/>
      </c>
      <c r="E78" t="str">
        <f>IF(Projects!E87&lt;&gt;"",Projects!E87,"")</f>
        <v/>
      </c>
      <c r="F78" t="str">
        <f>IF(Projects!F87&lt;&gt;"",Projects!F87,"")</f>
        <v/>
      </c>
      <c r="G78" s="45" t="str">
        <f>IF(Projects!G87&lt;&gt;"",Projects!G87,"")</f>
        <v/>
      </c>
      <c r="H78" s="45" t="str">
        <f>IF(Projects!H87&lt;&gt;"",Projects!H87,"")</f>
        <v/>
      </c>
      <c r="I78" s="45" t="str">
        <f>IF(Projects!I87&lt;&gt;"",Projects!I87,"")</f>
        <v/>
      </c>
      <c r="J78" s="45" t="str">
        <f>IF(Projects!J87&lt;&gt;"",Projects!J87,"")</f>
        <v/>
      </c>
      <c r="K78" s="45" t="str">
        <f>IF(Projects!K87&lt;&gt;"",Projects!K87,"")</f>
        <v/>
      </c>
      <c r="L78" t="str">
        <f>IF(AND(Projects!E87&lt;&gt;"", Projects!F87&lt;&gt;""),
INDEX('Duration Table'!$D$7:$H$17,MATCH(Projects!E87,'Duration Table'!$C$7:$C$17,0),MATCH(Projects!F87,'Duration Table'!$D$6:$H$6)),
   ""
)</f>
        <v/>
      </c>
      <c r="M78" s="45" t="str" cm="1">
        <f t="array" ref="M78">_xlfn.IFS(
    G78&lt;&gt;"",G78,
    H78&lt;&gt;"",EDATE(H78,-0.25*L78),
    N78&lt;&gt;"",EDATE(N78,-0.25*L78),
    TRUE,""
)</f>
        <v/>
      </c>
      <c r="N78" s="45" t="str" cm="1">
        <f t="array" ref="N78">_xlfn.IFS(
    H78&lt;&gt;"", H78,
    COUNT(G78,I78)=2, (G78 + (DATEDIF(G78,I78,"d")*0.5)),
    COUNT(G78,J78)=2, (G78 + (DATEDIF(G78,J78,"d")*0.25)),
    COUNT(G78,K78)=2, (G78 + ((DATEDIF(G78,K78,"d")-90)*0.25)),
    COUNT(I78,J78)=2, (I78 -(DATEDIF(I78,J78,"d")*0.5)),
    COUNT(I78,K78)=2, (I78 -((DATEDIF(I78,K78,"d")-90)*0.5)),
    G78&lt;&gt;"", EDATE(G78, + L78*0.25),
    I78&lt;&gt;"", EDATE(I78, - L78*0.25),
    J78&lt;&gt;"", EDATE(J78, - L78*0.75),
    K78&lt;&gt;"", EDATE(K78, -((L78*0.75)+3)),
    TRUE, ""
)</f>
        <v/>
      </c>
      <c r="O78" s="45" t="str" cm="1">
        <f t="array" ref="O78">_xlfn.IFS(
    I78&lt;&gt;"", I78,
    COUNT(H78,J78)=2, (H78 + (DATEDIF(H78,J78,"d")*0.33)),
    COUNT(H78,K78)=2, (H78 + ((DATEDIF(H78,K78,"d")-90)*0.33)),
    COUNT(G78,J78)=2, (G78 +  DATEDIF(G78,J78,"d")*0.5),
    COUNT(G78,K78)=2, (G78 + (DATEDIF(G78,K78,"d")-90)*0.5),
    G78&lt;&gt;"", EDATE(G78, + L78*0.5),
    H78&lt;&gt;"", EDATE(H78, + L78*0.25),
    J78&lt;&gt;"", EDATE(J78, - L78*0.5),
    K78&lt;&gt;"", EDATE(K78, -((L78*0.5)+3)),
    TRUE, ""
)</f>
        <v/>
      </c>
      <c r="P78" s="45" t="str" cm="1">
        <f t="array" ref="P78">_xlfn.IFS(
    J78&lt;&gt;"", J78,
    K78&lt;&gt;"", EDATE(K78, -3),
    G78&lt;&gt;"", EDATE(G78, + L78),
    H78&lt;&gt;"", EDATE(H78, + L78*0.75),
    I78&lt;&gt;"", EDATE(I78, H L78*0.5),
    TRUE, ""
)</f>
        <v/>
      </c>
      <c r="Q78" s="45" t="str" cm="1">
        <f t="array" ref="Q78">_xlfn.IFS(
    K78&lt;&gt;"",K78,
    J78&lt;&gt;"",EDATE(J78,3),
    P78&lt;&gt;"",EDATE(P78,3),
    TRUE,""
)</f>
        <v/>
      </c>
    </row>
    <row r="79" spans="1:17" x14ac:dyDescent="0.3">
      <c r="A79" t="str">
        <f>IF(AND(Projects!A88="", Projects!B88=""), "", IF(Projects!A88="", "Unassigned", Projects!A88))</f>
        <v/>
      </c>
      <c r="B79" t="str">
        <f>IF(Projects!B88&lt;&gt;"",Projects!B88,"")</f>
        <v/>
      </c>
      <c r="C79" t="str">
        <f>IF(AND(Projects!C88="", Projects!B88=""), "", IF(Projects!C88="", "None", Projects!C88))</f>
        <v/>
      </c>
      <c r="D79" t="str">
        <f>IF(AND(Projects!D88="", Projects!B88=""), "", IF(Projects!D88="", "No OpCo", Projects!D88))</f>
        <v/>
      </c>
      <c r="E79" t="str">
        <f>IF(Projects!E88&lt;&gt;"",Projects!E88,"")</f>
        <v/>
      </c>
      <c r="F79" t="str">
        <f>IF(Projects!F88&lt;&gt;"",Projects!F88,"")</f>
        <v/>
      </c>
      <c r="G79" s="45" t="str">
        <f>IF(Projects!G88&lt;&gt;"",Projects!G88,"")</f>
        <v/>
      </c>
      <c r="H79" s="45" t="str">
        <f>IF(Projects!H88&lt;&gt;"",Projects!H88,"")</f>
        <v/>
      </c>
      <c r="I79" s="45" t="str">
        <f>IF(Projects!I88&lt;&gt;"",Projects!I88,"")</f>
        <v/>
      </c>
      <c r="J79" s="45" t="str">
        <f>IF(Projects!J88&lt;&gt;"",Projects!J88,"")</f>
        <v/>
      </c>
      <c r="K79" s="45" t="str">
        <f>IF(Projects!K88&lt;&gt;"",Projects!K88,"")</f>
        <v/>
      </c>
      <c r="L79" t="str">
        <f>IF(AND(Projects!E88&lt;&gt;"", Projects!F88&lt;&gt;""),
INDEX('Duration Table'!$D$7:$H$17,MATCH(Projects!E88,'Duration Table'!$C$7:$C$17,0),MATCH(Projects!F88,'Duration Table'!$D$6:$H$6)),
   ""
)</f>
        <v/>
      </c>
      <c r="M79" s="45" t="str" cm="1">
        <f t="array" ref="M79">_xlfn.IFS(
    G79&lt;&gt;"",G79,
    H79&lt;&gt;"",EDATE(H79,-0.25*L79),
    N79&lt;&gt;"",EDATE(N79,-0.25*L79),
    TRUE,""
)</f>
        <v/>
      </c>
      <c r="N79" s="45" t="str" cm="1">
        <f t="array" ref="N79">_xlfn.IFS(
    H79&lt;&gt;"", H79,
    COUNT(G79,I79)=2, (G79 + (DATEDIF(G79,I79,"d")*0.5)),
    COUNT(G79,J79)=2, (G79 + (DATEDIF(G79,J79,"d")*0.25)),
    COUNT(G79,K79)=2, (G79 + ((DATEDIF(G79,K79,"d")-90)*0.25)),
    COUNT(I79,J79)=2, (I79 -(DATEDIF(I79,J79,"d")*0.5)),
    COUNT(I79,K79)=2, (I79 -((DATEDIF(I79,K79,"d")-90)*0.5)),
    G79&lt;&gt;"", EDATE(G79, + L79*0.25),
    I79&lt;&gt;"", EDATE(I79, - L79*0.25),
    J79&lt;&gt;"", EDATE(J79, - L79*0.75),
    K79&lt;&gt;"", EDATE(K79, -((L79*0.75)+3)),
    TRUE, ""
)</f>
        <v/>
      </c>
      <c r="O79" s="45" t="str" cm="1">
        <f t="array" ref="O79">_xlfn.IFS(
    I79&lt;&gt;"", I79,
    COUNT(H79,J79)=2, (H79 + (DATEDIF(H79,J79,"d")*0.33)),
    COUNT(H79,K79)=2, (H79 + ((DATEDIF(H79,K79,"d")-90)*0.33)),
    COUNT(G79,J79)=2, (G79 +  DATEDIF(G79,J79,"d")*0.5),
    COUNT(G79,K79)=2, (G79 + (DATEDIF(G79,K79,"d")-90)*0.5),
    G79&lt;&gt;"", EDATE(G79, + L79*0.5),
    H79&lt;&gt;"", EDATE(H79, + L79*0.25),
    J79&lt;&gt;"", EDATE(J79, - L79*0.5),
    K79&lt;&gt;"", EDATE(K79, -((L79*0.5)+3)),
    TRUE, ""
)</f>
        <v/>
      </c>
      <c r="P79" s="45" t="str" cm="1">
        <f t="array" ref="P79">_xlfn.IFS(
    J79&lt;&gt;"", J79,
    K79&lt;&gt;"", EDATE(K79, -3),
    G79&lt;&gt;"", EDATE(G79, + L79),
    H79&lt;&gt;"", EDATE(H79, + L79*0.75),
    I79&lt;&gt;"", EDATE(I79, H L79*0.5),
    TRUE, ""
)</f>
        <v/>
      </c>
      <c r="Q79" s="45" t="str" cm="1">
        <f t="array" ref="Q79">_xlfn.IFS(
    K79&lt;&gt;"",K79,
    J79&lt;&gt;"",EDATE(J79,3),
    P79&lt;&gt;"",EDATE(P79,3),
    TRUE,""
)</f>
        <v/>
      </c>
    </row>
    <row r="80" spans="1:17" x14ac:dyDescent="0.3">
      <c r="A80" t="str">
        <f>IF(AND(Projects!A89="", Projects!B89=""), "", IF(Projects!A89="", "Unassigned", Projects!A89))</f>
        <v/>
      </c>
      <c r="B80" t="str">
        <f>IF(Projects!B89&lt;&gt;"",Projects!B89,"")</f>
        <v/>
      </c>
      <c r="C80" t="str">
        <f>IF(AND(Projects!C89="", Projects!B89=""), "", IF(Projects!C89="", "None", Projects!C89))</f>
        <v/>
      </c>
      <c r="D80" t="str">
        <f>IF(AND(Projects!D89="", Projects!B89=""), "", IF(Projects!D89="", "No OpCo", Projects!D89))</f>
        <v/>
      </c>
      <c r="E80" t="str">
        <f>IF(Projects!E89&lt;&gt;"",Projects!E89,"")</f>
        <v/>
      </c>
      <c r="F80" t="str">
        <f>IF(Projects!F89&lt;&gt;"",Projects!F89,"")</f>
        <v/>
      </c>
      <c r="G80" s="45" t="str">
        <f>IF(Projects!G89&lt;&gt;"",Projects!G89,"")</f>
        <v/>
      </c>
      <c r="H80" s="45" t="str">
        <f>IF(Projects!H89&lt;&gt;"",Projects!H89,"")</f>
        <v/>
      </c>
      <c r="I80" s="45" t="str">
        <f>IF(Projects!I89&lt;&gt;"",Projects!I89,"")</f>
        <v/>
      </c>
      <c r="J80" s="45" t="str">
        <f>IF(Projects!J89&lt;&gt;"",Projects!J89,"")</f>
        <v/>
      </c>
      <c r="K80" s="45" t="str">
        <f>IF(Projects!K89&lt;&gt;"",Projects!K89,"")</f>
        <v/>
      </c>
      <c r="L80" t="str">
        <f>IF(AND(Projects!E89&lt;&gt;"", Projects!F89&lt;&gt;""),
INDEX('Duration Table'!$D$7:$H$17,MATCH(Projects!E89,'Duration Table'!$C$7:$C$17,0),MATCH(Projects!F89,'Duration Table'!$D$6:$H$6)),
   ""
)</f>
        <v/>
      </c>
      <c r="M80" s="45" t="str" cm="1">
        <f t="array" ref="M80">_xlfn.IFS(
    G80&lt;&gt;"",G80,
    H80&lt;&gt;"",EDATE(H80,-0.25*L80),
    N80&lt;&gt;"",EDATE(N80,-0.25*L80),
    TRUE,""
)</f>
        <v/>
      </c>
      <c r="N80" s="45" t="str" cm="1">
        <f t="array" ref="N80">_xlfn.IFS(
    H80&lt;&gt;"", H80,
    COUNT(G80,I80)=2, (G80 + (DATEDIF(G80,I80,"d")*0.5)),
    COUNT(G80,J80)=2, (G80 + (DATEDIF(G80,J80,"d")*0.25)),
    COUNT(G80,K80)=2, (G80 + ((DATEDIF(G80,K80,"d")-90)*0.25)),
    COUNT(I80,J80)=2, (I80 -(DATEDIF(I80,J80,"d")*0.5)),
    COUNT(I80,K80)=2, (I80 -((DATEDIF(I80,K80,"d")-90)*0.5)),
    G80&lt;&gt;"", EDATE(G80, + L80*0.25),
    I80&lt;&gt;"", EDATE(I80, - L80*0.25),
    J80&lt;&gt;"", EDATE(J80, - L80*0.75),
    K80&lt;&gt;"", EDATE(K80, -((L80*0.75)+3)),
    TRUE, ""
)</f>
        <v/>
      </c>
      <c r="O80" s="45" t="str" cm="1">
        <f t="array" ref="O80">_xlfn.IFS(
    I80&lt;&gt;"", I80,
    COUNT(H80,J80)=2, (H80 + (DATEDIF(H80,J80,"d")*0.33)),
    COUNT(H80,K80)=2, (H80 + ((DATEDIF(H80,K80,"d")-90)*0.33)),
    COUNT(G80,J80)=2, (G80 +  DATEDIF(G80,J80,"d")*0.5),
    COUNT(G80,K80)=2, (G80 + (DATEDIF(G80,K80,"d")-90)*0.5),
    G80&lt;&gt;"", EDATE(G80, + L80*0.5),
    H80&lt;&gt;"", EDATE(H80, + L80*0.25),
    J80&lt;&gt;"", EDATE(J80, - L80*0.5),
    K80&lt;&gt;"", EDATE(K80, -((L80*0.5)+3)),
    TRUE, ""
)</f>
        <v/>
      </c>
      <c r="P80" s="45" t="str" cm="1">
        <f t="array" ref="P80">_xlfn.IFS(
    J80&lt;&gt;"", J80,
    K80&lt;&gt;"", EDATE(K80, -3),
    G80&lt;&gt;"", EDATE(G80, + L80),
    H80&lt;&gt;"", EDATE(H80, + L80*0.75),
    I80&lt;&gt;"", EDATE(I80, H L80*0.5),
    TRUE, ""
)</f>
        <v/>
      </c>
      <c r="Q80" s="45" t="str" cm="1">
        <f t="array" ref="Q80">_xlfn.IFS(
    K80&lt;&gt;"",K80,
    J80&lt;&gt;"",EDATE(J80,3),
    P80&lt;&gt;"",EDATE(P80,3),
    TRUE,""
)</f>
        <v/>
      </c>
    </row>
    <row r="81" spans="1:17" x14ac:dyDescent="0.3">
      <c r="A81" t="str">
        <f>IF(AND(Projects!A90="", Projects!B90=""), "", IF(Projects!A90="", "Unassigned", Projects!A90))</f>
        <v/>
      </c>
      <c r="B81" t="str">
        <f>IF(Projects!B90&lt;&gt;"",Projects!B90,"")</f>
        <v/>
      </c>
      <c r="C81" t="str">
        <f>IF(AND(Projects!C90="", Projects!B90=""), "", IF(Projects!C90="", "None", Projects!C90))</f>
        <v/>
      </c>
      <c r="D81" t="str">
        <f>IF(AND(Projects!D90="", Projects!B90=""), "", IF(Projects!D90="", "No OpCo", Projects!D90))</f>
        <v/>
      </c>
      <c r="E81" t="str">
        <f>IF(Projects!E90&lt;&gt;"",Projects!E90,"")</f>
        <v/>
      </c>
      <c r="F81" t="str">
        <f>IF(Projects!F90&lt;&gt;"",Projects!F90,"")</f>
        <v/>
      </c>
      <c r="G81" s="45" t="str">
        <f>IF(Projects!G90&lt;&gt;"",Projects!G90,"")</f>
        <v/>
      </c>
      <c r="H81" s="45" t="str">
        <f>IF(Projects!H90&lt;&gt;"",Projects!H90,"")</f>
        <v/>
      </c>
      <c r="I81" s="45" t="str">
        <f>IF(Projects!I90&lt;&gt;"",Projects!I90,"")</f>
        <v/>
      </c>
      <c r="J81" s="45" t="str">
        <f>IF(Projects!J90&lt;&gt;"",Projects!J90,"")</f>
        <v/>
      </c>
      <c r="K81" s="45" t="str">
        <f>IF(Projects!K90&lt;&gt;"",Projects!K90,"")</f>
        <v/>
      </c>
      <c r="L81" t="str">
        <f>IF(AND(Projects!E90&lt;&gt;"", Projects!F90&lt;&gt;""),
INDEX('Duration Table'!$D$7:$H$17,MATCH(Projects!E90,'Duration Table'!$C$7:$C$17,0),MATCH(Projects!F90,'Duration Table'!$D$6:$H$6)),
   ""
)</f>
        <v/>
      </c>
      <c r="M81" s="45" t="str" cm="1">
        <f t="array" ref="M81">_xlfn.IFS(
    G81&lt;&gt;"",G81,
    H81&lt;&gt;"",EDATE(H81,-0.25*L81),
    N81&lt;&gt;"",EDATE(N81,-0.25*L81),
    TRUE,""
)</f>
        <v/>
      </c>
      <c r="N81" s="45" t="str" cm="1">
        <f t="array" ref="N81">_xlfn.IFS(
    H81&lt;&gt;"", H81,
    COUNT(G81,I81)=2, (G81 + (DATEDIF(G81,I81,"d")*0.5)),
    COUNT(G81,J81)=2, (G81 + (DATEDIF(G81,J81,"d")*0.25)),
    COUNT(G81,K81)=2, (G81 + ((DATEDIF(G81,K81,"d")-90)*0.25)),
    COUNT(I81,J81)=2, (I81 -(DATEDIF(I81,J81,"d")*0.5)),
    COUNT(I81,K81)=2, (I81 -((DATEDIF(I81,K81,"d")-90)*0.5)),
    G81&lt;&gt;"", EDATE(G81, + L81*0.25),
    I81&lt;&gt;"", EDATE(I81, - L81*0.25),
    J81&lt;&gt;"", EDATE(J81, - L81*0.75),
    K81&lt;&gt;"", EDATE(K81, -((L81*0.75)+3)),
    TRUE, ""
)</f>
        <v/>
      </c>
      <c r="O81" s="45" t="str" cm="1">
        <f t="array" ref="O81">_xlfn.IFS(
    I81&lt;&gt;"", I81,
    COUNT(H81,J81)=2, (H81 + (DATEDIF(H81,J81,"d")*0.33)),
    COUNT(H81,K81)=2, (H81 + ((DATEDIF(H81,K81,"d")-90)*0.33)),
    COUNT(G81,J81)=2, (G81 +  DATEDIF(G81,J81,"d")*0.5),
    COUNT(G81,K81)=2, (G81 + (DATEDIF(G81,K81,"d")-90)*0.5),
    G81&lt;&gt;"", EDATE(G81, + L81*0.5),
    H81&lt;&gt;"", EDATE(H81, + L81*0.25),
    J81&lt;&gt;"", EDATE(J81, - L81*0.5),
    K81&lt;&gt;"", EDATE(K81, -((L81*0.5)+3)),
    TRUE, ""
)</f>
        <v/>
      </c>
      <c r="P81" s="45" t="str" cm="1">
        <f t="array" ref="P81">_xlfn.IFS(
    J81&lt;&gt;"", J81,
    K81&lt;&gt;"", EDATE(K81, -3),
    G81&lt;&gt;"", EDATE(G81, + L81),
    H81&lt;&gt;"", EDATE(H81, + L81*0.75),
    I81&lt;&gt;"", EDATE(I81, H L81*0.5),
    TRUE, ""
)</f>
        <v/>
      </c>
      <c r="Q81" s="45" t="str" cm="1">
        <f t="array" ref="Q81">_xlfn.IFS(
    K81&lt;&gt;"",K81,
    J81&lt;&gt;"",EDATE(J81,3),
    P81&lt;&gt;"",EDATE(P81,3),
    TRUE,""
)</f>
        <v/>
      </c>
    </row>
    <row r="82" spans="1:17" x14ac:dyDescent="0.3">
      <c r="A82" t="str">
        <f>IF(AND(Projects!A91="", Projects!B91=""), "", IF(Projects!A91="", "Unassigned", Projects!A91))</f>
        <v/>
      </c>
      <c r="B82" t="str">
        <f>IF(Projects!B91&lt;&gt;"",Projects!B91,"")</f>
        <v/>
      </c>
      <c r="C82" t="str">
        <f>IF(AND(Projects!C91="", Projects!B91=""), "", IF(Projects!C91="", "None", Projects!C91))</f>
        <v/>
      </c>
      <c r="D82" t="str">
        <f>IF(AND(Projects!D91="", Projects!B91=""), "", IF(Projects!D91="", "No OpCo", Projects!D91))</f>
        <v/>
      </c>
      <c r="E82" t="str">
        <f>IF(Projects!E91&lt;&gt;"",Projects!E91,"")</f>
        <v/>
      </c>
      <c r="F82" t="str">
        <f>IF(Projects!F91&lt;&gt;"",Projects!F91,"")</f>
        <v/>
      </c>
      <c r="G82" s="45" t="str">
        <f>IF(Projects!G91&lt;&gt;"",Projects!G91,"")</f>
        <v/>
      </c>
      <c r="H82" s="45" t="str">
        <f>IF(Projects!H91&lt;&gt;"",Projects!H91,"")</f>
        <v/>
      </c>
      <c r="I82" s="45" t="str">
        <f>IF(Projects!I91&lt;&gt;"",Projects!I91,"")</f>
        <v/>
      </c>
      <c r="J82" s="45" t="str">
        <f>IF(Projects!J91&lt;&gt;"",Projects!J91,"")</f>
        <v/>
      </c>
      <c r="K82" s="45" t="str">
        <f>IF(Projects!K91&lt;&gt;"",Projects!K91,"")</f>
        <v/>
      </c>
      <c r="L82" t="str">
        <f>IF(AND(Projects!E91&lt;&gt;"", Projects!F91&lt;&gt;""),
INDEX('Duration Table'!$D$7:$H$17,MATCH(Projects!E91,'Duration Table'!$C$7:$C$17,0),MATCH(Projects!F91,'Duration Table'!$D$6:$H$6)),
   ""
)</f>
        <v/>
      </c>
      <c r="M82" s="45" t="str" cm="1">
        <f t="array" ref="M82">_xlfn.IFS(
    G82&lt;&gt;"",G82,
    H82&lt;&gt;"",EDATE(H82,-0.25*L82),
    N82&lt;&gt;"",EDATE(N82,-0.25*L82),
    TRUE,""
)</f>
        <v/>
      </c>
      <c r="N82" s="45" t="str" cm="1">
        <f t="array" ref="N82">_xlfn.IFS(
    H82&lt;&gt;"", H82,
    COUNT(G82,I82)=2, (G82 + (DATEDIF(G82,I82,"d")*0.5)),
    COUNT(G82,J82)=2, (G82 + (DATEDIF(G82,J82,"d")*0.25)),
    COUNT(G82,K82)=2, (G82 + ((DATEDIF(G82,K82,"d")-90)*0.25)),
    COUNT(I82,J82)=2, (I82 -(DATEDIF(I82,J82,"d")*0.5)),
    COUNT(I82,K82)=2, (I82 -((DATEDIF(I82,K82,"d")-90)*0.5)),
    G82&lt;&gt;"", EDATE(G82, + L82*0.25),
    I82&lt;&gt;"", EDATE(I82, - L82*0.25),
    J82&lt;&gt;"", EDATE(J82, - L82*0.75),
    K82&lt;&gt;"", EDATE(K82, -((L82*0.75)+3)),
    TRUE, ""
)</f>
        <v/>
      </c>
      <c r="O82" s="45" t="str" cm="1">
        <f t="array" ref="O82">_xlfn.IFS(
    I82&lt;&gt;"", I82,
    COUNT(H82,J82)=2, (H82 + (DATEDIF(H82,J82,"d")*0.33)),
    COUNT(H82,K82)=2, (H82 + ((DATEDIF(H82,K82,"d")-90)*0.33)),
    COUNT(G82,J82)=2, (G82 +  DATEDIF(G82,J82,"d")*0.5),
    COUNT(G82,K82)=2, (G82 + (DATEDIF(G82,K82,"d")-90)*0.5),
    G82&lt;&gt;"", EDATE(G82, + L82*0.5),
    H82&lt;&gt;"", EDATE(H82, + L82*0.25),
    J82&lt;&gt;"", EDATE(J82, - L82*0.5),
    K82&lt;&gt;"", EDATE(K82, -((L82*0.5)+3)),
    TRUE, ""
)</f>
        <v/>
      </c>
      <c r="P82" s="45" t="str" cm="1">
        <f t="array" ref="P82">_xlfn.IFS(
    J82&lt;&gt;"", J82,
    K82&lt;&gt;"", EDATE(K82, -3),
    G82&lt;&gt;"", EDATE(G82, + L82),
    H82&lt;&gt;"", EDATE(H82, + L82*0.75),
    I82&lt;&gt;"", EDATE(I82, H L82*0.5),
    TRUE, ""
)</f>
        <v/>
      </c>
      <c r="Q82" s="45" t="str" cm="1">
        <f t="array" ref="Q82">_xlfn.IFS(
    K82&lt;&gt;"",K82,
    J82&lt;&gt;"",EDATE(J82,3),
    P82&lt;&gt;"",EDATE(P82,3),
    TRUE,""
)</f>
        <v/>
      </c>
    </row>
    <row r="83" spans="1:17" x14ac:dyDescent="0.3">
      <c r="A83" t="str">
        <f>IF(AND(Projects!A92="", Projects!B92=""), "", IF(Projects!A92="", "Unassigned", Projects!A92))</f>
        <v/>
      </c>
      <c r="B83" t="str">
        <f>IF(Projects!B92&lt;&gt;"",Projects!B92,"")</f>
        <v/>
      </c>
      <c r="C83" t="str">
        <f>IF(AND(Projects!C92="", Projects!B92=""), "", IF(Projects!C92="", "None", Projects!C92))</f>
        <v/>
      </c>
      <c r="D83" t="str">
        <f>IF(AND(Projects!D92="", Projects!B92=""), "", IF(Projects!D92="", "No OpCo", Projects!D92))</f>
        <v/>
      </c>
      <c r="E83" t="str">
        <f>IF(Projects!E92&lt;&gt;"",Projects!E92,"")</f>
        <v/>
      </c>
      <c r="F83" t="str">
        <f>IF(Projects!F92&lt;&gt;"",Projects!F92,"")</f>
        <v/>
      </c>
      <c r="G83" s="45" t="str">
        <f>IF(Projects!G92&lt;&gt;"",Projects!G92,"")</f>
        <v/>
      </c>
      <c r="H83" s="45" t="str">
        <f>IF(Projects!H92&lt;&gt;"",Projects!H92,"")</f>
        <v/>
      </c>
      <c r="I83" s="45" t="str">
        <f>IF(Projects!I92&lt;&gt;"",Projects!I92,"")</f>
        <v/>
      </c>
      <c r="J83" s="45" t="str">
        <f>IF(Projects!J92&lt;&gt;"",Projects!J92,"")</f>
        <v/>
      </c>
      <c r="K83" s="45" t="str">
        <f>IF(Projects!K92&lt;&gt;"",Projects!K92,"")</f>
        <v/>
      </c>
      <c r="L83" t="str">
        <f>IF(AND(Projects!E92&lt;&gt;"", Projects!F92&lt;&gt;""),
INDEX('Duration Table'!$D$7:$H$17,MATCH(Projects!E92,'Duration Table'!$C$7:$C$17,0),MATCH(Projects!F92,'Duration Table'!$D$6:$H$6)),
   ""
)</f>
        <v/>
      </c>
      <c r="M83" s="45" t="str" cm="1">
        <f t="array" ref="M83">_xlfn.IFS(
    G83&lt;&gt;"",G83,
    H83&lt;&gt;"",EDATE(H83,-0.25*L83),
    N83&lt;&gt;"",EDATE(N83,-0.25*L83),
    TRUE,""
)</f>
        <v/>
      </c>
      <c r="N83" s="45" t="str" cm="1">
        <f t="array" ref="N83">_xlfn.IFS(
    H83&lt;&gt;"", H83,
    COUNT(G83,I83)=2, (G83 + (DATEDIF(G83,I83,"d")*0.5)),
    COUNT(G83,J83)=2, (G83 + (DATEDIF(G83,J83,"d")*0.25)),
    COUNT(G83,K83)=2, (G83 + ((DATEDIF(G83,K83,"d")-90)*0.25)),
    COUNT(I83,J83)=2, (I83 -(DATEDIF(I83,J83,"d")*0.5)),
    COUNT(I83,K83)=2, (I83 -((DATEDIF(I83,K83,"d")-90)*0.5)),
    G83&lt;&gt;"", EDATE(G83, + L83*0.25),
    I83&lt;&gt;"", EDATE(I83, - L83*0.25),
    J83&lt;&gt;"", EDATE(J83, - L83*0.75),
    K83&lt;&gt;"", EDATE(K83, -((L83*0.75)+3)),
    TRUE, ""
)</f>
        <v/>
      </c>
      <c r="O83" s="45" t="str" cm="1">
        <f t="array" ref="O83">_xlfn.IFS(
    I83&lt;&gt;"", I83,
    COUNT(H83,J83)=2, (H83 + (DATEDIF(H83,J83,"d")*0.33)),
    COUNT(H83,K83)=2, (H83 + ((DATEDIF(H83,K83,"d")-90)*0.33)),
    COUNT(G83,J83)=2, (G83 +  DATEDIF(G83,J83,"d")*0.5),
    COUNT(G83,K83)=2, (G83 + (DATEDIF(G83,K83,"d")-90)*0.5),
    G83&lt;&gt;"", EDATE(G83, + L83*0.5),
    H83&lt;&gt;"", EDATE(H83, + L83*0.25),
    J83&lt;&gt;"", EDATE(J83, - L83*0.5),
    K83&lt;&gt;"", EDATE(K83, -((L83*0.5)+3)),
    TRUE, ""
)</f>
        <v/>
      </c>
      <c r="P83" s="45" t="str" cm="1">
        <f t="array" ref="P83">_xlfn.IFS(
    J83&lt;&gt;"", J83,
    K83&lt;&gt;"", EDATE(K83, -3),
    G83&lt;&gt;"", EDATE(G83, + L83),
    H83&lt;&gt;"", EDATE(H83, + L83*0.75),
    I83&lt;&gt;"", EDATE(I83, H L83*0.5),
    TRUE, ""
)</f>
        <v/>
      </c>
      <c r="Q83" s="45" t="str" cm="1">
        <f t="array" ref="Q83">_xlfn.IFS(
    K83&lt;&gt;"",K83,
    J83&lt;&gt;"",EDATE(J83,3),
    P83&lt;&gt;"",EDATE(P83,3),
    TRUE,""
)</f>
        <v/>
      </c>
    </row>
    <row r="84" spans="1:17" x14ac:dyDescent="0.3">
      <c r="A84" t="str">
        <f>IF(AND(Projects!A93="", Projects!B93=""), "", IF(Projects!A93="", "Unassigned", Projects!A93))</f>
        <v/>
      </c>
      <c r="B84" t="str">
        <f>IF(Projects!B93&lt;&gt;"",Projects!B93,"")</f>
        <v/>
      </c>
      <c r="C84" t="str">
        <f>IF(AND(Projects!C93="", Projects!B93=""), "", IF(Projects!C93="", "None", Projects!C93))</f>
        <v/>
      </c>
      <c r="D84" t="str">
        <f>IF(AND(Projects!D93="", Projects!B93=""), "", IF(Projects!D93="", "No OpCo", Projects!D93))</f>
        <v/>
      </c>
      <c r="E84" t="str">
        <f>IF(Projects!E93&lt;&gt;"",Projects!E93,"")</f>
        <v/>
      </c>
      <c r="F84" t="str">
        <f>IF(Projects!F93&lt;&gt;"",Projects!F93,"")</f>
        <v/>
      </c>
      <c r="G84" s="45" t="str">
        <f>IF(Projects!G93&lt;&gt;"",Projects!G93,"")</f>
        <v/>
      </c>
      <c r="H84" s="45" t="str">
        <f>IF(Projects!H93&lt;&gt;"",Projects!H93,"")</f>
        <v/>
      </c>
      <c r="I84" s="45" t="str">
        <f>IF(Projects!I93&lt;&gt;"",Projects!I93,"")</f>
        <v/>
      </c>
      <c r="J84" s="45" t="str">
        <f>IF(Projects!J93&lt;&gt;"",Projects!J93,"")</f>
        <v/>
      </c>
      <c r="K84" s="45" t="str">
        <f>IF(Projects!K93&lt;&gt;"",Projects!K93,"")</f>
        <v/>
      </c>
      <c r="L84" t="str">
        <f>IF(AND(Projects!E93&lt;&gt;"", Projects!F93&lt;&gt;""),
INDEX('Duration Table'!$D$7:$H$17,MATCH(Projects!E93,'Duration Table'!$C$7:$C$17,0),MATCH(Projects!F93,'Duration Table'!$D$6:$H$6)),
   ""
)</f>
        <v/>
      </c>
      <c r="M84" s="45" t="str" cm="1">
        <f t="array" ref="M84">_xlfn.IFS(
    G84&lt;&gt;"",G84,
    H84&lt;&gt;"",EDATE(H84,-0.25*L84),
    N84&lt;&gt;"",EDATE(N84,-0.25*L84),
    TRUE,""
)</f>
        <v/>
      </c>
      <c r="N84" s="45" t="str" cm="1">
        <f t="array" ref="N84">_xlfn.IFS(
    H84&lt;&gt;"", H84,
    COUNT(G84,I84)=2, (G84 + (DATEDIF(G84,I84,"d")*0.5)),
    COUNT(G84,J84)=2, (G84 + (DATEDIF(G84,J84,"d")*0.25)),
    COUNT(G84,K84)=2, (G84 + ((DATEDIF(G84,K84,"d")-90)*0.25)),
    COUNT(I84,J84)=2, (I84 -(DATEDIF(I84,J84,"d")*0.5)),
    COUNT(I84,K84)=2, (I84 -((DATEDIF(I84,K84,"d")-90)*0.5)),
    G84&lt;&gt;"", EDATE(G84, + L84*0.25),
    I84&lt;&gt;"", EDATE(I84, - L84*0.25),
    J84&lt;&gt;"", EDATE(J84, - L84*0.75),
    K84&lt;&gt;"", EDATE(K84, -((L84*0.75)+3)),
    TRUE, ""
)</f>
        <v/>
      </c>
      <c r="O84" s="45" t="str" cm="1">
        <f t="array" ref="O84">_xlfn.IFS(
    I84&lt;&gt;"", I84,
    COUNT(H84,J84)=2, (H84 + (DATEDIF(H84,J84,"d")*0.33)),
    COUNT(H84,K84)=2, (H84 + ((DATEDIF(H84,K84,"d")-90)*0.33)),
    COUNT(G84,J84)=2, (G84 +  DATEDIF(G84,J84,"d")*0.5),
    COUNT(G84,K84)=2, (G84 + (DATEDIF(G84,K84,"d")-90)*0.5),
    G84&lt;&gt;"", EDATE(G84, + L84*0.5),
    H84&lt;&gt;"", EDATE(H84, + L84*0.25),
    J84&lt;&gt;"", EDATE(J84, - L84*0.5),
    K84&lt;&gt;"", EDATE(K84, -((L84*0.5)+3)),
    TRUE, ""
)</f>
        <v/>
      </c>
      <c r="P84" s="45" t="str" cm="1">
        <f t="array" ref="P84">_xlfn.IFS(
    J84&lt;&gt;"", J84,
    K84&lt;&gt;"", EDATE(K84, -3),
    G84&lt;&gt;"", EDATE(G84, + L84),
    H84&lt;&gt;"", EDATE(H84, + L84*0.75),
    I84&lt;&gt;"", EDATE(I84, H L84*0.5),
    TRUE, ""
)</f>
        <v/>
      </c>
      <c r="Q84" s="45" t="str" cm="1">
        <f t="array" ref="Q84">_xlfn.IFS(
    K84&lt;&gt;"",K84,
    J84&lt;&gt;"",EDATE(J84,3),
    P84&lt;&gt;"",EDATE(P84,3),
    TRUE,""
)</f>
        <v/>
      </c>
    </row>
    <row r="85" spans="1:17" x14ac:dyDescent="0.3">
      <c r="A85" t="str">
        <f>IF(AND(Projects!A94="", Projects!B94=""), "", IF(Projects!A94="", "Unassigned", Projects!A94))</f>
        <v/>
      </c>
      <c r="B85" t="str">
        <f>IF(Projects!B94&lt;&gt;"",Projects!B94,"")</f>
        <v/>
      </c>
      <c r="C85" t="str">
        <f>IF(AND(Projects!C94="", Projects!B94=""), "", IF(Projects!C94="", "None", Projects!C94))</f>
        <v/>
      </c>
      <c r="D85" t="str">
        <f>IF(AND(Projects!D94="", Projects!B94=""), "", IF(Projects!D94="", "No OpCo", Projects!D94))</f>
        <v/>
      </c>
      <c r="E85" t="str">
        <f>IF(Projects!E94&lt;&gt;"",Projects!E94,"")</f>
        <v/>
      </c>
      <c r="F85" t="str">
        <f>IF(Projects!F94&lt;&gt;"",Projects!F94,"")</f>
        <v/>
      </c>
      <c r="G85" s="45" t="str">
        <f>IF(Projects!G94&lt;&gt;"",Projects!G94,"")</f>
        <v/>
      </c>
      <c r="H85" s="45" t="str">
        <f>IF(Projects!H94&lt;&gt;"",Projects!H94,"")</f>
        <v/>
      </c>
      <c r="I85" s="45" t="str">
        <f>IF(Projects!I94&lt;&gt;"",Projects!I94,"")</f>
        <v/>
      </c>
      <c r="J85" s="45" t="str">
        <f>IF(Projects!J94&lt;&gt;"",Projects!J94,"")</f>
        <v/>
      </c>
      <c r="K85" s="45" t="str">
        <f>IF(Projects!K94&lt;&gt;"",Projects!K94,"")</f>
        <v/>
      </c>
      <c r="L85" t="str">
        <f>IF(AND(Projects!E94&lt;&gt;"", Projects!F94&lt;&gt;""),
INDEX('Duration Table'!$D$7:$H$17,MATCH(Projects!E94,'Duration Table'!$C$7:$C$17,0),MATCH(Projects!F94,'Duration Table'!$D$6:$H$6)),
   ""
)</f>
        <v/>
      </c>
      <c r="M85" s="45" t="str" cm="1">
        <f t="array" ref="M85">_xlfn.IFS(
    G85&lt;&gt;"",G85,
    H85&lt;&gt;"",EDATE(H85,-0.25*L85),
    N85&lt;&gt;"",EDATE(N85,-0.25*L85),
    TRUE,""
)</f>
        <v/>
      </c>
      <c r="N85" s="45" t="str" cm="1">
        <f t="array" ref="N85">_xlfn.IFS(
    H85&lt;&gt;"", H85,
    COUNT(G85,I85)=2, (G85 + (DATEDIF(G85,I85,"d")*0.5)),
    COUNT(G85,J85)=2, (G85 + (DATEDIF(G85,J85,"d")*0.25)),
    COUNT(G85,K85)=2, (G85 + ((DATEDIF(G85,K85,"d")-90)*0.25)),
    COUNT(I85,J85)=2, (I85 -(DATEDIF(I85,J85,"d")*0.5)),
    COUNT(I85,K85)=2, (I85 -((DATEDIF(I85,K85,"d")-90)*0.5)),
    G85&lt;&gt;"", EDATE(G85, + L85*0.25),
    I85&lt;&gt;"", EDATE(I85, - L85*0.25),
    J85&lt;&gt;"", EDATE(J85, - L85*0.75),
    K85&lt;&gt;"", EDATE(K85, -((L85*0.75)+3)),
    TRUE, ""
)</f>
        <v/>
      </c>
      <c r="O85" s="45" t="str" cm="1">
        <f t="array" ref="O85">_xlfn.IFS(
    I85&lt;&gt;"", I85,
    COUNT(H85,J85)=2, (H85 + (DATEDIF(H85,J85,"d")*0.33)),
    COUNT(H85,K85)=2, (H85 + ((DATEDIF(H85,K85,"d")-90)*0.33)),
    COUNT(G85,J85)=2, (G85 +  DATEDIF(G85,J85,"d")*0.5),
    COUNT(G85,K85)=2, (G85 + (DATEDIF(G85,K85,"d")-90)*0.5),
    G85&lt;&gt;"", EDATE(G85, + L85*0.5),
    H85&lt;&gt;"", EDATE(H85, + L85*0.25),
    J85&lt;&gt;"", EDATE(J85, - L85*0.5),
    K85&lt;&gt;"", EDATE(K85, -((L85*0.5)+3)),
    TRUE, ""
)</f>
        <v/>
      </c>
      <c r="P85" s="45" t="str" cm="1">
        <f t="array" ref="P85">_xlfn.IFS(
    J85&lt;&gt;"", J85,
    K85&lt;&gt;"", EDATE(K85, -3),
    G85&lt;&gt;"", EDATE(G85, + L85),
    H85&lt;&gt;"", EDATE(H85, + L85*0.75),
    I85&lt;&gt;"", EDATE(I85, H L85*0.5),
    TRUE, ""
)</f>
        <v/>
      </c>
      <c r="Q85" s="45" t="str" cm="1">
        <f t="array" ref="Q85">_xlfn.IFS(
    K85&lt;&gt;"",K85,
    J85&lt;&gt;"",EDATE(J85,3),
    P85&lt;&gt;"",EDATE(P85,3),
    TRUE,""
)</f>
        <v/>
      </c>
    </row>
    <row r="86" spans="1:17" x14ac:dyDescent="0.3">
      <c r="A86" t="str">
        <f>IF(AND(Projects!A95="", Projects!B95=""), "", IF(Projects!A95="", "Unassigned", Projects!A95))</f>
        <v/>
      </c>
      <c r="B86" t="str">
        <f>IF(Projects!B95&lt;&gt;"",Projects!B95,"")</f>
        <v/>
      </c>
      <c r="C86" t="str">
        <f>IF(AND(Projects!C95="", Projects!B95=""), "", IF(Projects!C95="", "None", Projects!C95))</f>
        <v/>
      </c>
      <c r="D86" t="str">
        <f>IF(AND(Projects!D95="", Projects!B95=""), "", IF(Projects!D95="", "No OpCo", Projects!D95))</f>
        <v/>
      </c>
      <c r="E86" t="str">
        <f>IF(Projects!E95&lt;&gt;"",Projects!E95,"")</f>
        <v/>
      </c>
      <c r="F86" t="str">
        <f>IF(Projects!F95&lt;&gt;"",Projects!F95,"")</f>
        <v/>
      </c>
      <c r="G86" s="45" t="str">
        <f>IF(Projects!G95&lt;&gt;"",Projects!G95,"")</f>
        <v/>
      </c>
      <c r="H86" s="45" t="str">
        <f>IF(Projects!H95&lt;&gt;"",Projects!H95,"")</f>
        <v/>
      </c>
      <c r="I86" s="45" t="str">
        <f>IF(Projects!I95&lt;&gt;"",Projects!I95,"")</f>
        <v/>
      </c>
      <c r="J86" s="45" t="str">
        <f>IF(Projects!J95&lt;&gt;"",Projects!J95,"")</f>
        <v/>
      </c>
      <c r="K86" s="45" t="str">
        <f>IF(Projects!K95&lt;&gt;"",Projects!K95,"")</f>
        <v/>
      </c>
      <c r="L86" t="str">
        <f>IF(AND(Projects!E95&lt;&gt;"", Projects!F95&lt;&gt;""),
INDEX('Duration Table'!$D$7:$H$17,MATCH(Projects!E95,'Duration Table'!$C$7:$C$17,0),MATCH(Projects!F95,'Duration Table'!$D$6:$H$6)),
   ""
)</f>
        <v/>
      </c>
      <c r="M86" s="45" t="str" cm="1">
        <f t="array" ref="M86">_xlfn.IFS(
    G86&lt;&gt;"",G86,
    H86&lt;&gt;"",EDATE(H86,-0.25*L86),
    N86&lt;&gt;"",EDATE(N86,-0.25*L86),
    TRUE,""
)</f>
        <v/>
      </c>
      <c r="N86" s="45" t="str" cm="1">
        <f t="array" ref="N86">_xlfn.IFS(
    H86&lt;&gt;"", H86,
    COUNT(G86,I86)=2, (G86 + (DATEDIF(G86,I86,"d")*0.5)),
    COUNT(G86,J86)=2, (G86 + (DATEDIF(G86,J86,"d")*0.25)),
    COUNT(G86,K86)=2, (G86 + ((DATEDIF(G86,K86,"d")-90)*0.25)),
    COUNT(I86,J86)=2, (I86 -(DATEDIF(I86,J86,"d")*0.5)),
    COUNT(I86,K86)=2, (I86 -((DATEDIF(I86,K86,"d")-90)*0.5)),
    G86&lt;&gt;"", EDATE(G86, + L86*0.25),
    I86&lt;&gt;"", EDATE(I86, - L86*0.25),
    J86&lt;&gt;"", EDATE(J86, - L86*0.75),
    K86&lt;&gt;"", EDATE(K86, -((L86*0.75)+3)),
    TRUE, ""
)</f>
        <v/>
      </c>
      <c r="O86" s="45" t="str" cm="1">
        <f t="array" ref="O86">_xlfn.IFS(
    I86&lt;&gt;"", I86,
    COUNT(H86,J86)=2, (H86 + (DATEDIF(H86,J86,"d")*0.33)),
    COUNT(H86,K86)=2, (H86 + ((DATEDIF(H86,K86,"d")-90)*0.33)),
    COUNT(G86,J86)=2, (G86 +  DATEDIF(G86,J86,"d")*0.5),
    COUNT(G86,K86)=2, (G86 + (DATEDIF(G86,K86,"d")-90)*0.5),
    G86&lt;&gt;"", EDATE(G86, + L86*0.5),
    H86&lt;&gt;"", EDATE(H86, + L86*0.25),
    J86&lt;&gt;"", EDATE(J86, - L86*0.5),
    K86&lt;&gt;"", EDATE(K86, -((L86*0.5)+3)),
    TRUE, ""
)</f>
        <v/>
      </c>
      <c r="P86" s="45" t="str" cm="1">
        <f t="array" ref="P86">_xlfn.IFS(
    J86&lt;&gt;"", J86,
    K86&lt;&gt;"", EDATE(K86, -3),
    G86&lt;&gt;"", EDATE(G86, + L86),
    H86&lt;&gt;"", EDATE(H86, + L86*0.75),
    I86&lt;&gt;"", EDATE(I86, H L86*0.5),
    TRUE, ""
)</f>
        <v/>
      </c>
      <c r="Q86" s="45" t="str" cm="1">
        <f t="array" ref="Q86">_xlfn.IFS(
    K86&lt;&gt;"",K86,
    J86&lt;&gt;"",EDATE(J86,3),
    P86&lt;&gt;"",EDATE(P86,3),
    TRUE,""
)</f>
        <v/>
      </c>
    </row>
    <row r="87" spans="1:17" x14ac:dyDescent="0.3">
      <c r="A87" t="str">
        <f>IF(AND(Projects!A96="", Projects!B96=""), "", IF(Projects!A96="", "Unassigned", Projects!A96))</f>
        <v/>
      </c>
      <c r="B87" t="str">
        <f>IF(Projects!B96&lt;&gt;"",Projects!B96,"")</f>
        <v/>
      </c>
      <c r="C87" t="str">
        <f>IF(AND(Projects!C96="", Projects!B96=""), "", IF(Projects!C96="", "None", Projects!C96))</f>
        <v/>
      </c>
      <c r="D87" t="str">
        <f>IF(AND(Projects!D96="", Projects!B96=""), "", IF(Projects!D96="", "No OpCo", Projects!D96))</f>
        <v/>
      </c>
      <c r="E87" t="str">
        <f>IF(Projects!E96&lt;&gt;"",Projects!E96,"")</f>
        <v/>
      </c>
      <c r="F87" t="str">
        <f>IF(Projects!F96&lt;&gt;"",Projects!F96,"")</f>
        <v/>
      </c>
      <c r="G87" s="45" t="str">
        <f>IF(Projects!G96&lt;&gt;"",Projects!G96,"")</f>
        <v/>
      </c>
      <c r="H87" s="45" t="str">
        <f>IF(Projects!H96&lt;&gt;"",Projects!H96,"")</f>
        <v/>
      </c>
      <c r="I87" s="45" t="str">
        <f>IF(Projects!I96&lt;&gt;"",Projects!I96,"")</f>
        <v/>
      </c>
      <c r="J87" s="45" t="str">
        <f>IF(Projects!J96&lt;&gt;"",Projects!J96,"")</f>
        <v/>
      </c>
      <c r="K87" s="45" t="str">
        <f>IF(Projects!K96&lt;&gt;"",Projects!K96,"")</f>
        <v/>
      </c>
      <c r="L87" t="str">
        <f>IF(AND(Projects!E96&lt;&gt;"", Projects!F96&lt;&gt;""),
INDEX('Duration Table'!$D$7:$H$17,MATCH(Projects!E96,'Duration Table'!$C$7:$C$17,0),MATCH(Projects!F96,'Duration Table'!$D$6:$H$6)),
   ""
)</f>
        <v/>
      </c>
      <c r="M87" s="45" t="str" cm="1">
        <f t="array" ref="M87">_xlfn.IFS(
    G87&lt;&gt;"",G87,
    H87&lt;&gt;"",EDATE(H87,-0.25*L87),
    N87&lt;&gt;"",EDATE(N87,-0.25*L87),
    TRUE,""
)</f>
        <v/>
      </c>
      <c r="N87" s="45" t="str" cm="1">
        <f t="array" ref="N87">_xlfn.IFS(
    H87&lt;&gt;"", H87,
    COUNT(G87,I87)=2, (G87 + (DATEDIF(G87,I87,"d")*0.5)),
    COUNT(G87,J87)=2, (G87 + (DATEDIF(G87,J87,"d")*0.25)),
    COUNT(G87,K87)=2, (G87 + ((DATEDIF(G87,K87,"d")-90)*0.25)),
    COUNT(I87,J87)=2, (I87 -(DATEDIF(I87,J87,"d")*0.5)),
    COUNT(I87,K87)=2, (I87 -((DATEDIF(I87,K87,"d")-90)*0.5)),
    G87&lt;&gt;"", EDATE(G87, + L87*0.25),
    I87&lt;&gt;"", EDATE(I87, - L87*0.25),
    J87&lt;&gt;"", EDATE(J87, - L87*0.75),
    K87&lt;&gt;"", EDATE(K87, -((L87*0.75)+3)),
    TRUE, ""
)</f>
        <v/>
      </c>
      <c r="O87" s="45" t="str" cm="1">
        <f t="array" ref="O87">_xlfn.IFS(
    I87&lt;&gt;"", I87,
    COUNT(H87,J87)=2, (H87 + (DATEDIF(H87,J87,"d")*0.33)),
    COUNT(H87,K87)=2, (H87 + ((DATEDIF(H87,K87,"d")-90)*0.33)),
    COUNT(G87,J87)=2, (G87 +  DATEDIF(G87,J87,"d")*0.5),
    COUNT(G87,K87)=2, (G87 + (DATEDIF(G87,K87,"d")-90)*0.5),
    G87&lt;&gt;"", EDATE(G87, + L87*0.5),
    H87&lt;&gt;"", EDATE(H87, + L87*0.25),
    J87&lt;&gt;"", EDATE(J87, - L87*0.5),
    K87&lt;&gt;"", EDATE(K87, -((L87*0.5)+3)),
    TRUE, ""
)</f>
        <v/>
      </c>
      <c r="P87" s="45" t="str" cm="1">
        <f t="array" ref="P87">_xlfn.IFS(
    J87&lt;&gt;"", J87,
    K87&lt;&gt;"", EDATE(K87, -3),
    G87&lt;&gt;"", EDATE(G87, + L87),
    H87&lt;&gt;"", EDATE(H87, + L87*0.75),
    I87&lt;&gt;"", EDATE(I87, H L87*0.5),
    TRUE, ""
)</f>
        <v/>
      </c>
      <c r="Q87" s="45" t="str" cm="1">
        <f t="array" ref="Q87">_xlfn.IFS(
    K87&lt;&gt;"",K87,
    J87&lt;&gt;"",EDATE(J87,3),
    P87&lt;&gt;"",EDATE(P87,3),
    TRUE,""
)</f>
        <v/>
      </c>
    </row>
    <row r="88" spans="1:17" x14ac:dyDescent="0.3">
      <c r="A88" t="str">
        <f>IF(AND(Projects!A97="", Projects!B97=""), "", IF(Projects!A97="", "Unassigned", Projects!A97))</f>
        <v/>
      </c>
      <c r="B88" t="str">
        <f>IF(Projects!B97&lt;&gt;"",Projects!B97,"")</f>
        <v/>
      </c>
      <c r="C88" t="str">
        <f>IF(AND(Projects!C97="", Projects!B97=""), "", IF(Projects!C97="", "None", Projects!C97))</f>
        <v/>
      </c>
      <c r="D88" t="str">
        <f>IF(AND(Projects!D97="", Projects!B97=""), "", IF(Projects!D97="", "No OpCo", Projects!D97))</f>
        <v/>
      </c>
      <c r="E88" t="str">
        <f>IF(Projects!E97&lt;&gt;"",Projects!E97,"")</f>
        <v/>
      </c>
      <c r="F88" t="str">
        <f>IF(Projects!F97&lt;&gt;"",Projects!F97,"")</f>
        <v/>
      </c>
      <c r="G88" s="45" t="str">
        <f>IF(Projects!G97&lt;&gt;"",Projects!G97,"")</f>
        <v/>
      </c>
      <c r="H88" s="45" t="str">
        <f>IF(Projects!H97&lt;&gt;"",Projects!H97,"")</f>
        <v/>
      </c>
      <c r="I88" s="45" t="str">
        <f>IF(Projects!I97&lt;&gt;"",Projects!I97,"")</f>
        <v/>
      </c>
      <c r="J88" s="45" t="str">
        <f>IF(Projects!J97&lt;&gt;"",Projects!J97,"")</f>
        <v/>
      </c>
      <c r="K88" s="45" t="str">
        <f>IF(Projects!K97&lt;&gt;"",Projects!K97,"")</f>
        <v/>
      </c>
      <c r="L88" t="str">
        <f>IF(AND(Projects!E97&lt;&gt;"", Projects!F97&lt;&gt;""),
INDEX('Duration Table'!$D$7:$H$17,MATCH(Projects!E97,'Duration Table'!$C$7:$C$17,0),MATCH(Projects!F97,'Duration Table'!$D$6:$H$6)),
   ""
)</f>
        <v/>
      </c>
      <c r="M88" s="45" t="str" cm="1">
        <f t="array" ref="M88">_xlfn.IFS(
    G88&lt;&gt;"",G88,
    H88&lt;&gt;"",EDATE(H88,-0.25*L88),
    N88&lt;&gt;"",EDATE(N88,-0.25*L88),
    TRUE,""
)</f>
        <v/>
      </c>
      <c r="N88" s="45" t="str" cm="1">
        <f t="array" ref="N88">_xlfn.IFS(
    H88&lt;&gt;"", H88,
    COUNT(G88,I88)=2, (G88 + (DATEDIF(G88,I88,"d")*0.5)),
    COUNT(G88,J88)=2, (G88 + (DATEDIF(G88,J88,"d")*0.25)),
    COUNT(G88,K88)=2, (G88 + ((DATEDIF(G88,K88,"d")-90)*0.25)),
    COUNT(I88,J88)=2, (I88 -(DATEDIF(I88,J88,"d")*0.5)),
    COUNT(I88,K88)=2, (I88 -((DATEDIF(I88,K88,"d")-90)*0.5)),
    G88&lt;&gt;"", EDATE(G88, + L88*0.25),
    I88&lt;&gt;"", EDATE(I88, - L88*0.25),
    J88&lt;&gt;"", EDATE(J88, - L88*0.75),
    K88&lt;&gt;"", EDATE(K88, -((L88*0.75)+3)),
    TRUE, ""
)</f>
        <v/>
      </c>
      <c r="O88" s="45" t="str" cm="1">
        <f t="array" ref="O88">_xlfn.IFS(
    I88&lt;&gt;"", I88,
    COUNT(H88,J88)=2, (H88 + (DATEDIF(H88,J88,"d")*0.33)),
    COUNT(H88,K88)=2, (H88 + ((DATEDIF(H88,K88,"d")-90)*0.33)),
    COUNT(G88,J88)=2, (G88 +  DATEDIF(G88,J88,"d")*0.5),
    COUNT(G88,K88)=2, (G88 + (DATEDIF(G88,K88,"d")-90)*0.5),
    G88&lt;&gt;"", EDATE(G88, + L88*0.5),
    H88&lt;&gt;"", EDATE(H88, + L88*0.25),
    J88&lt;&gt;"", EDATE(J88, - L88*0.5),
    K88&lt;&gt;"", EDATE(K88, -((L88*0.5)+3)),
    TRUE, ""
)</f>
        <v/>
      </c>
      <c r="P88" s="45" t="str" cm="1">
        <f t="array" ref="P88">_xlfn.IFS(
    J88&lt;&gt;"", J88,
    K88&lt;&gt;"", EDATE(K88, -3),
    G88&lt;&gt;"", EDATE(G88, + L88),
    H88&lt;&gt;"", EDATE(H88, + L88*0.75),
    I88&lt;&gt;"", EDATE(I88, H L88*0.5),
    TRUE, ""
)</f>
        <v/>
      </c>
      <c r="Q88" s="45" t="str" cm="1">
        <f t="array" ref="Q88">_xlfn.IFS(
    K88&lt;&gt;"",K88,
    J88&lt;&gt;"",EDATE(J88,3),
    P88&lt;&gt;"",EDATE(P88,3),
    TRUE,""
)</f>
        <v/>
      </c>
    </row>
    <row r="89" spans="1:17" x14ac:dyDescent="0.3">
      <c r="A89" t="str">
        <f>IF(AND(Projects!A98="", Projects!B98=""), "", IF(Projects!A98="", "Unassigned", Projects!A98))</f>
        <v/>
      </c>
      <c r="B89" t="str">
        <f>IF(Projects!B98&lt;&gt;"",Projects!B98,"")</f>
        <v/>
      </c>
      <c r="C89" t="str">
        <f>IF(AND(Projects!C98="", Projects!B98=""), "", IF(Projects!C98="", "None", Projects!C98))</f>
        <v/>
      </c>
      <c r="D89" t="str">
        <f>IF(AND(Projects!D98="", Projects!B98=""), "", IF(Projects!D98="", "No OpCo", Projects!D98))</f>
        <v/>
      </c>
      <c r="E89" t="str">
        <f>IF(Projects!E98&lt;&gt;"",Projects!E98,"")</f>
        <v/>
      </c>
      <c r="F89" t="str">
        <f>IF(Projects!F98&lt;&gt;"",Projects!F98,"")</f>
        <v/>
      </c>
      <c r="G89" s="45" t="str">
        <f>IF(Projects!G98&lt;&gt;"",Projects!G98,"")</f>
        <v/>
      </c>
      <c r="H89" s="45" t="str">
        <f>IF(Projects!H98&lt;&gt;"",Projects!H98,"")</f>
        <v/>
      </c>
      <c r="I89" s="45" t="str">
        <f>IF(Projects!I98&lt;&gt;"",Projects!I98,"")</f>
        <v/>
      </c>
      <c r="J89" s="45" t="str">
        <f>IF(Projects!J98&lt;&gt;"",Projects!J98,"")</f>
        <v/>
      </c>
      <c r="K89" s="45" t="str">
        <f>IF(Projects!K98&lt;&gt;"",Projects!K98,"")</f>
        <v/>
      </c>
      <c r="L89" t="str">
        <f>IF(AND(Projects!E98&lt;&gt;"", Projects!F98&lt;&gt;""),
INDEX('Duration Table'!$D$7:$H$17,MATCH(Projects!E98,'Duration Table'!$C$7:$C$17,0),MATCH(Projects!F98,'Duration Table'!$D$6:$H$6)),
   ""
)</f>
        <v/>
      </c>
      <c r="M89" s="45" t="str" cm="1">
        <f t="array" ref="M89">_xlfn.IFS(
    G89&lt;&gt;"",G89,
    H89&lt;&gt;"",EDATE(H89,-0.25*L89),
    N89&lt;&gt;"",EDATE(N89,-0.25*L89),
    TRUE,""
)</f>
        <v/>
      </c>
      <c r="N89" s="45" t="str" cm="1">
        <f t="array" ref="N89">_xlfn.IFS(
    H89&lt;&gt;"", H89,
    COUNT(G89,I89)=2, (G89 + (DATEDIF(G89,I89,"d")*0.5)),
    COUNT(G89,J89)=2, (G89 + (DATEDIF(G89,J89,"d")*0.25)),
    COUNT(G89,K89)=2, (G89 + ((DATEDIF(G89,K89,"d")-90)*0.25)),
    COUNT(I89,J89)=2, (I89 -(DATEDIF(I89,J89,"d")*0.5)),
    COUNT(I89,K89)=2, (I89 -((DATEDIF(I89,K89,"d")-90)*0.5)),
    G89&lt;&gt;"", EDATE(G89, + L89*0.25),
    I89&lt;&gt;"", EDATE(I89, - L89*0.25),
    J89&lt;&gt;"", EDATE(J89, - L89*0.75),
    K89&lt;&gt;"", EDATE(K89, -((L89*0.75)+3)),
    TRUE, ""
)</f>
        <v/>
      </c>
      <c r="O89" s="45" t="str" cm="1">
        <f t="array" ref="O89">_xlfn.IFS(
    I89&lt;&gt;"", I89,
    COUNT(H89,J89)=2, (H89 + (DATEDIF(H89,J89,"d")*0.33)),
    COUNT(H89,K89)=2, (H89 + ((DATEDIF(H89,K89,"d")-90)*0.33)),
    COUNT(G89,J89)=2, (G89 +  DATEDIF(G89,J89,"d")*0.5),
    COUNT(G89,K89)=2, (G89 + (DATEDIF(G89,K89,"d")-90)*0.5),
    G89&lt;&gt;"", EDATE(G89, + L89*0.5),
    H89&lt;&gt;"", EDATE(H89, + L89*0.25),
    J89&lt;&gt;"", EDATE(J89, - L89*0.5),
    K89&lt;&gt;"", EDATE(K89, -((L89*0.5)+3)),
    TRUE, ""
)</f>
        <v/>
      </c>
      <c r="P89" s="45" t="str" cm="1">
        <f t="array" ref="P89">_xlfn.IFS(
    J89&lt;&gt;"", J89,
    K89&lt;&gt;"", EDATE(K89, -3),
    G89&lt;&gt;"", EDATE(G89, + L89),
    H89&lt;&gt;"", EDATE(H89, + L89*0.75),
    I89&lt;&gt;"", EDATE(I89, H L89*0.5),
    TRUE, ""
)</f>
        <v/>
      </c>
      <c r="Q89" s="45" t="str" cm="1">
        <f t="array" ref="Q89">_xlfn.IFS(
    K89&lt;&gt;"",K89,
    J89&lt;&gt;"",EDATE(J89,3),
    P89&lt;&gt;"",EDATE(P89,3),
    TRUE,""
)</f>
        <v/>
      </c>
    </row>
    <row r="90" spans="1:17" x14ac:dyDescent="0.3">
      <c r="A90" t="str">
        <f>IF(AND(Projects!A99="", Projects!B99=""), "", IF(Projects!A99="", "Unassigned", Projects!A99))</f>
        <v/>
      </c>
      <c r="B90" t="str">
        <f>IF(Projects!B99&lt;&gt;"",Projects!B99,"")</f>
        <v/>
      </c>
      <c r="C90" t="str">
        <f>IF(AND(Projects!C99="", Projects!B99=""), "", IF(Projects!C99="", "None", Projects!C99))</f>
        <v/>
      </c>
      <c r="D90" t="str">
        <f>IF(AND(Projects!D99="", Projects!B99=""), "", IF(Projects!D99="", "No OpCo", Projects!D99))</f>
        <v/>
      </c>
      <c r="E90" t="str">
        <f>IF(Projects!E99&lt;&gt;"",Projects!E99,"")</f>
        <v/>
      </c>
      <c r="F90" t="str">
        <f>IF(Projects!F99&lt;&gt;"",Projects!F99,"")</f>
        <v/>
      </c>
      <c r="G90" s="45" t="str">
        <f>IF(Projects!G99&lt;&gt;"",Projects!G99,"")</f>
        <v/>
      </c>
      <c r="H90" s="45" t="str">
        <f>IF(Projects!H99&lt;&gt;"",Projects!H99,"")</f>
        <v/>
      </c>
      <c r="I90" s="45" t="str">
        <f>IF(Projects!I99&lt;&gt;"",Projects!I99,"")</f>
        <v/>
      </c>
      <c r="J90" s="45" t="str">
        <f>IF(Projects!J99&lt;&gt;"",Projects!J99,"")</f>
        <v/>
      </c>
      <c r="K90" s="45" t="str">
        <f>IF(Projects!K99&lt;&gt;"",Projects!K99,"")</f>
        <v/>
      </c>
      <c r="L90" t="str">
        <f>IF(AND(Projects!E99&lt;&gt;"", Projects!F99&lt;&gt;""),
INDEX('Duration Table'!$D$7:$H$17,MATCH(Projects!E99,'Duration Table'!$C$7:$C$17,0),MATCH(Projects!F99,'Duration Table'!$D$6:$H$6)),
   ""
)</f>
        <v/>
      </c>
      <c r="M90" s="45" t="str" cm="1">
        <f t="array" ref="M90">_xlfn.IFS(
    G90&lt;&gt;"",G90,
    H90&lt;&gt;"",EDATE(H90,-0.25*L90),
    N90&lt;&gt;"",EDATE(N90,-0.25*L90),
    TRUE,""
)</f>
        <v/>
      </c>
      <c r="N90" s="45" t="str" cm="1">
        <f t="array" ref="N90">_xlfn.IFS(
    H90&lt;&gt;"", H90,
    COUNT(G90,I90)=2, (G90 + (DATEDIF(G90,I90,"d")*0.5)),
    COUNT(G90,J90)=2, (G90 + (DATEDIF(G90,J90,"d")*0.25)),
    COUNT(G90,K90)=2, (G90 + ((DATEDIF(G90,K90,"d")-90)*0.25)),
    COUNT(I90,J90)=2, (I90 -(DATEDIF(I90,J90,"d")*0.5)),
    COUNT(I90,K90)=2, (I90 -((DATEDIF(I90,K90,"d")-90)*0.5)),
    G90&lt;&gt;"", EDATE(G90, + L90*0.25),
    I90&lt;&gt;"", EDATE(I90, - L90*0.25),
    J90&lt;&gt;"", EDATE(J90, - L90*0.75),
    K90&lt;&gt;"", EDATE(K90, -((L90*0.75)+3)),
    TRUE, ""
)</f>
        <v/>
      </c>
      <c r="O90" s="45" t="str" cm="1">
        <f t="array" ref="O90">_xlfn.IFS(
    I90&lt;&gt;"", I90,
    COUNT(H90,J90)=2, (H90 + (DATEDIF(H90,J90,"d")*0.33)),
    COUNT(H90,K90)=2, (H90 + ((DATEDIF(H90,K90,"d")-90)*0.33)),
    COUNT(G90,J90)=2, (G90 +  DATEDIF(G90,J90,"d")*0.5),
    COUNT(G90,K90)=2, (G90 + (DATEDIF(G90,K90,"d")-90)*0.5),
    G90&lt;&gt;"", EDATE(G90, + L90*0.5),
    H90&lt;&gt;"", EDATE(H90, + L90*0.25),
    J90&lt;&gt;"", EDATE(J90, - L90*0.5),
    K90&lt;&gt;"", EDATE(K90, -((L90*0.5)+3)),
    TRUE, ""
)</f>
        <v/>
      </c>
      <c r="P90" s="45" t="str" cm="1">
        <f t="array" ref="P90">_xlfn.IFS(
    J90&lt;&gt;"", J90,
    K90&lt;&gt;"", EDATE(K90, -3),
    G90&lt;&gt;"", EDATE(G90, + L90),
    H90&lt;&gt;"", EDATE(H90, + L90*0.75),
    I90&lt;&gt;"", EDATE(I90, H L90*0.5),
    TRUE, ""
)</f>
        <v/>
      </c>
      <c r="Q90" s="45" t="str" cm="1">
        <f t="array" ref="Q90">_xlfn.IFS(
    K90&lt;&gt;"",K90,
    J90&lt;&gt;"",EDATE(J90,3),
    P90&lt;&gt;"",EDATE(P90,3),
    TRUE,""
)</f>
        <v/>
      </c>
    </row>
    <row r="91" spans="1:17" x14ac:dyDescent="0.3">
      <c r="A91" t="str">
        <f>IF(AND(Projects!A100="", Projects!B100=""), "", IF(Projects!A100="", "Unassigned", Projects!A100))</f>
        <v/>
      </c>
      <c r="B91" t="str">
        <f>IF(Projects!B100&lt;&gt;"",Projects!B100,"")</f>
        <v/>
      </c>
      <c r="C91" t="str">
        <f>IF(AND(Projects!C100="", Projects!B100=""), "", IF(Projects!C100="", "None", Projects!C100))</f>
        <v/>
      </c>
      <c r="D91" t="str">
        <f>IF(AND(Projects!D100="", Projects!B100=""), "", IF(Projects!D100="", "No OpCo", Projects!D100))</f>
        <v/>
      </c>
      <c r="E91" t="str">
        <f>IF(Projects!E100&lt;&gt;"",Projects!E100,"")</f>
        <v/>
      </c>
      <c r="F91" t="str">
        <f>IF(Projects!F100&lt;&gt;"",Projects!F100,"")</f>
        <v/>
      </c>
      <c r="G91" s="45" t="str">
        <f>IF(Projects!G100&lt;&gt;"",Projects!G100,"")</f>
        <v/>
      </c>
      <c r="H91" s="45" t="str">
        <f>IF(Projects!H100&lt;&gt;"",Projects!H100,"")</f>
        <v/>
      </c>
      <c r="I91" s="45" t="str">
        <f>IF(Projects!I100&lt;&gt;"",Projects!I100,"")</f>
        <v/>
      </c>
      <c r="J91" s="45" t="str">
        <f>IF(Projects!J100&lt;&gt;"",Projects!J100,"")</f>
        <v/>
      </c>
      <c r="K91" s="45" t="str">
        <f>IF(Projects!K100&lt;&gt;"",Projects!K100,"")</f>
        <v/>
      </c>
      <c r="L91" t="str">
        <f>IF(AND(Projects!E100&lt;&gt;"", Projects!F100&lt;&gt;""),
INDEX('Duration Table'!$D$7:$H$17,MATCH(Projects!E100,'Duration Table'!$C$7:$C$17,0),MATCH(Projects!F100,'Duration Table'!$D$6:$H$6)),
   ""
)</f>
        <v/>
      </c>
      <c r="M91" s="45" t="str" cm="1">
        <f t="array" ref="M91">_xlfn.IFS(
    G91&lt;&gt;"",G91,
    H91&lt;&gt;"",EDATE(H91,-0.25*L91),
    N91&lt;&gt;"",EDATE(N91,-0.25*L91),
    TRUE,""
)</f>
        <v/>
      </c>
      <c r="N91" s="45" t="str" cm="1">
        <f t="array" ref="N91">_xlfn.IFS(
    H91&lt;&gt;"", H91,
    COUNT(G91,I91)=2, (G91 + (DATEDIF(G91,I91,"d")*0.5)),
    COUNT(G91,J91)=2, (G91 + (DATEDIF(G91,J91,"d")*0.25)),
    COUNT(G91,K91)=2, (G91 + ((DATEDIF(G91,K91,"d")-90)*0.25)),
    COUNT(I91,J91)=2, (I91 -(DATEDIF(I91,J91,"d")*0.5)),
    COUNT(I91,K91)=2, (I91 -((DATEDIF(I91,K91,"d")-90)*0.5)),
    G91&lt;&gt;"", EDATE(G91, + L91*0.25),
    I91&lt;&gt;"", EDATE(I91, - L91*0.25),
    J91&lt;&gt;"", EDATE(J91, - L91*0.75),
    K91&lt;&gt;"", EDATE(K91, -((L91*0.75)+3)),
    TRUE, ""
)</f>
        <v/>
      </c>
      <c r="O91" s="45" t="str" cm="1">
        <f t="array" ref="O91">_xlfn.IFS(
    I91&lt;&gt;"", I91,
    COUNT(H91,J91)=2, (H91 + (DATEDIF(H91,J91,"d")*0.33)),
    COUNT(H91,K91)=2, (H91 + ((DATEDIF(H91,K91,"d")-90)*0.33)),
    COUNT(G91,J91)=2, (G91 +  DATEDIF(G91,J91,"d")*0.5),
    COUNT(G91,K91)=2, (G91 + (DATEDIF(G91,K91,"d")-90)*0.5),
    G91&lt;&gt;"", EDATE(G91, + L91*0.5),
    H91&lt;&gt;"", EDATE(H91, + L91*0.25),
    J91&lt;&gt;"", EDATE(J91, - L91*0.5),
    K91&lt;&gt;"", EDATE(K91, -((L91*0.5)+3)),
    TRUE, ""
)</f>
        <v/>
      </c>
      <c r="P91" s="45" t="str" cm="1">
        <f t="array" ref="P91">_xlfn.IFS(
    J91&lt;&gt;"", J91,
    K91&lt;&gt;"", EDATE(K91, -3),
    G91&lt;&gt;"", EDATE(G91, + L91),
    H91&lt;&gt;"", EDATE(H91, + L91*0.75),
    I91&lt;&gt;"", EDATE(I91, H L91*0.5),
    TRUE, ""
)</f>
        <v/>
      </c>
      <c r="Q91" s="45" t="str" cm="1">
        <f t="array" ref="Q91">_xlfn.IFS(
    K91&lt;&gt;"",K91,
    J91&lt;&gt;"",EDATE(J91,3),
    P91&lt;&gt;"",EDATE(P91,3),
    TRUE,""
)</f>
        <v/>
      </c>
    </row>
    <row r="92" spans="1:17" x14ac:dyDescent="0.3">
      <c r="A92" t="str">
        <f>IF(AND(Projects!A101="", Projects!B101=""), "", IF(Projects!A101="", "Unassigned", Projects!A101))</f>
        <v/>
      </c>
      <c r="B92" t="str">
        <f>IF(Projects!B101&lt;&gt;"",Projects!B101,"")</f>
        <v/>
      </c>
      <c r="C92" t="str">
        <f>IF(AND(Projects!C101="", Projects!B101=""), "", IF(Projects!C101="", "None", Projects!C101))</f>
        <v/>
      </c>
      <c r="D92" t="str">
        <f>IF(AND(Projects!D101="", Projects!B101=""), "", IF(Projects!D101="", "No OpCo", Projects!D101))</f>
        <v/>
      </c>
      <c r="E92" t="str">
        <f>IF(Projects!E101&lt;&gt;"",Projects!E101,"")</f>
        <v/>
      </c>
      <c r="F92" t="str">
        <f>IF(Projects!F101&lt;&gt;"",Projects!F101,"")</f>
        <v/>
      </c>
      <c r="G92" s="45" t="str">
        <f>IF(Projects!G101&lt;&gt;"",Projects!G101,"")</f>
        <v/>
      </c>
      <c r="H92" s="45" t="str">
        <f>IF(Projects!H101&lt;&gt;"",Projects!H101,"")</f>
        <v/>
      </c>
      <c r="I92" s="45" t="str">
        <f>IF(Projects!I101&lt;&gt;"",Projects!I101,"")</f>
        <v/>
      </c>
      <c r="J92" s="45" t="str">
        <f>IF(Projects!J101&lt;&gt;"",Projects!J101,"")</f>
        <v/>
      </c>
      <c r="K92" s="45" t="str">
        <f>IF(Projects!K101&lt;&gt;"",Projects!K101,"")</f>
        <v/>
      </c>
      <c r="L92" t="str">
        <f>IF(AND(Projects!E101&lt;&gt;"", Projects!F101&lt;&gt;""),
INDEX('Duration Table'!$D$7:$H$17,MATCH(Projects!E101,'Duration Table'!$C$7:$C$17,0),MATCH(Projects!F101,'Duration Table'!$D$6:$H$6)),
   ""
)</f>
        <v/>
      </c>
      <c r="M92" s="45" t="str" cm="1">
        <f t="array" ref="M92">_xlfn.IFS(
    G92&lt;&gt;"",G92,
    H92&lt;&gt;"",EDATE(H92,-0.25*L92),
    N92&lt;&gt;"",EDATE(N92,-0.25*L92),
    TRUE,""
)</f>
        <v/>
      </c>
      <c r="N92" s="45" t="str" cm="1">
        <f t="array" ref="N92">_xlfn.IFS(
    H92&lt;&gt;"", H92,
    COUNT(G92,I92)=2, (G92 + (DATEDIF(G92,I92,"d")*0.5)),
    COUNT(G92,J92)=2, (G92 + (DATEDIF(G92,J92,"d")*0.25)),
    COUNT(G92,K92)=2, (G92 + ((DATEDIF(G92,K92,"d")-90)*0.25)),
    COUNT(I92,J92)=2, (I92 -(DATEDIF(I92,J92,"d")*0.5)),
    COUNT(I92,K92)=2, (I92 -((DATEDIF(I92,K92,"d")-90)*0.5)),
    G92&lt;&gt;"", EDATE(G92, + L92*0.25),
    I92&lt;&gt;"", EDATE(I92, - L92*0.25),
    J92&lt;&gt;"", EDATE(J92, - L92*0.75),
    K92&lt;&gt;"", EDATE(K92, -((L92*0.75)+3)),
    TRUE, ""
)</f>
        <v/>
      </c>
      <c r="O92" s="45" t="str" cm="1">
        <f t="array" ref="O92">_xlfn.IFS(
    I92&lt;&gt;"", I92,
    COUNT(H92,J92)=2, (H92 + (DATEDIF(H92,J92,"d")*0.33)),
    COUNT(H92,K92)=2, (H92 + ((DATEDIF(H92,K92,"d")-90)*0.33)),
    COUNT(G92,J92)=2, (G92 +  DATEDIF(G92,J92,"d")*0.5),
    COUNT(G92,K92)=2, (G92 + (DATEDIF(G92,K92,"d")-90)*0.5),
    G92&lt;&gt;"", EDATE(G92, + L92*0.5),
    H92&lt;&gt;"", EDATE(H92, + L92*0.25),
    J92&lt;&gt;"", EDATE(J92, - L92*0.5),
    K92&lt;&gt;"", EDATE(K92, -((L92*0.5)+3)),
    TRUE, ""
)</f>
        <v/>
      </c>
      <c r="P92" s="45" t="str" cm="1">
        <f t="array" ref="P92">_xlfn.IFS(
    J92&lt;&gt;"", J92,
    K92&lt;&gt;"", EDATE(K92, -3),
    G92&lt;&gt;"", EDATE(G92, + L92),
    H92&lt;&gt;"", EDATE(H92, + L92*0.75),
    I92&lt;&gt;"", EDATE(I92, H L92*0.5),
    TRUE, ""
)</f>
        <v/>
      </c>
      <c r="Q92" s="45" t="str" cm="1">
        <f t="array" ref="Q92">_xlfn.IFS(
    K92&lt;&gt;"",K92,
    J92&lt;&gt;"",EDATE(J92,3),
    P92&lt;&gt;"",EDATE(P92,3),
    TRUE,""
)</f>
        <v/>
      </c>
    </row>
    <row r="93" spans="1:17" x14ac:dyDescent="0.3">
      <c r="A93" t="str">
        <f>IF(AND(Projects!A102="", Projects!B102=""), "", IF(Projects!A102="", "Unassigned", Projects!A102))</f>
        <v/>
      </c>
      <c r="B93" t="str">
        <f>IF(Projects!B102&lt;&gt;"",Projects!B102,"")</f>
        <v/>
      </c>
      <c r="C93" t="str">
        <f>IF(AND(Projects!C102="", Projects!B102=""), "", IF(Projects!C102="", "None", Projects!C102))</f>
        <v/>
      </c>
      <c r="D93" t="str">
        <f>IF(AND(Projects!D102="", Projects!B102=""), "", IF(Projects!D102="", "No OpCo", Projects!D102))</f>
        <v/>
      </c>
      <c r="E93" t="str">
        <f>IF(Projects!E102&lt;&gt;"",Projects!E102,"")</f>
        <v/>
      </c>
      <c r="F93" t="str">
        <f>IF(Projects!F102&lt;&gt;"",Projects!F102,"")</f>
        <v/>
      </c>
      <c r="G93" s="45" t="str">
        <f>IF(Projects!G102&lt;&gt;"",Projects!G102,"")</f>
        <v/>
      </c>
      <c r="H93" s="45" t="str">
        <f>IF(Projects!H102&lt;&gt;"",Projects!H102,"")</f>
        <v/>
      </c>
      <c r="I93" s="45" t="str">
        <f>IF(Projects!I102&lt;&gt;"",Projects!I102,"")</f>
        <v/>
      </c>
      <c r="J93" s="45" t="str">
        <f>IF(Projects!J102&lt;&gt;"",Projects!J102,"")</f>
        <v/>
      </c>
      <c r="K93" s="45" t="str">
        <f>IF(Projects!K102&lt;&gt;"",Projects!K102,"")</f>
        <v/>
      </c>
      <c r="L93" t="str">
        <f>IF(AND(Projects!E102&lt;&gt;"", Projects!F102&lt;&gt;""),
INDEX('Duration Table'!$D$7:$H$17,MATCH(Projects!E102,'Duration Table'!$C$7:$C$17,0),MATCH(Projects!F102,'Duration Table'!$D$6:$H$6)),
   ""
)</f>
        <v/>
      </c>
      <c r="M93" s="45" t="str" cm="1">
        <f t="array" ref="M93">_xlfn.IFS(
    G93&lt;&gt;"",G93,
    H93&lt;&gt;"",EDATE(H93,-0.25*L93),
    N93&lt;&gt;"",EDATE(N93,-0.25*L93),
    TRUE,""
)</f>
        <v/>
      </c>
      <c r="N93" s="45" t="str" cm="1">
        <f t="array" ref="N93">_xlfn.IFS(
    H93&lt;&gt;"", H93,
    COUNT(G93,I93)=2, (G93 + (DATEDIF(G93,I93,"d")*0.5)),
    COUNT(G93,J93)=2, (G93 + (DATEDIF(G93,J93,"d")*0.25)),
    COUNT(G93,K93)=2, (G93 + ((DATEDIF(G93,K93,"d")-90)*0.25)),
    COUNT(I93,J93)=2, (I93 -(DATEDIF(I93,J93,"d")*0.5)),
    COUNT(I93,K93)=2, (I93 -((DATEDIF(I93,K93,"d")-90)*0.5)),
    G93&lt;&gt;"", EDATE(G93, + L93*0.25),
    I93&lt;&gt;"", EDATE(I93, - L93*0.25),
    J93&lt;&gt;"", EDATE(J93, - L93*0.75),
    K93&lt;&gt;"", EDATE(K93, -((L93*0.75)+3)),
    TRUE, ""
)</f>
        <v/>
      </c>
      <c r="O93" s="45" t="str" cm="1">
        <f t="array" ref="O93">_xlfn.IFS(
    I93&lt;&gt;"", I93,
    COUNT(H93,J93)=2, (H93 + (DATEDIF(H93,J93,"d")*0.33)),
    COUNT(H93,K93)=2, (H93 + ((DATEDIF(H93,K93,"d")-90)*0.33)),
    COUNT(G93,J93)=2, (G93 +  DATEDIF(G93,J93,"d")*0.5),
    COUNT(G93,K93)=2, (G93 + (DATEDIF(G93,K93,"d")-90)*0.5),
    G93&lt;&gt;"", EDATE(G93, + L93*0.5),
    H93&lt;&gt;"", EDATE(H93, + L93*0.25),
    J93&lt;&gt;"", EDATE(J93, - L93*0.5),
    K93&lt;&gt;"", EDATE(K93, -((L93*0.5)+3)),
    TRUE, ""
)</f>
        <v/>
      </c>
      <c r="P93" s="45" t="str" cm="1">
        <f t="array" ref="P93">_xlfn.IFS(
    J93&lt;&gt;"", J93,
    K93&lt;&gt;"", EDATE(K93, -3),
    G93&lt;&gt;"", EDATE(G93, + L93),
    H93&lt;&gt;"", EDATE(H93, + L93*0.75),
    I93&lt;&gt;"", EDATE(I93, H L93*0.5),
    TRUE, ""
)</f>
        <v/>
      </c>
      <c r="Q93" s="45" t="str" cm="1">
        <f t="array" ref="Q93">_xlfn.IFS(
    K93&lt;&gt;"",K93,
    J93&lt;&gt;"",EDATE(J93,3),
    P93&lt;&gt;"",EDATE(P93,3),
    TRUE,""
)</f>
        <v/>
      </c>
    </row>
    <row r="94" spans="1:17" x14ac:dyDescent="0.3">
      <c r="A94" t="str">
        <f>IF(AND(Projects!A103="", Projects!B103=""), "", IF(Projects!A103="", "Unassigned", Projects!A103))</f>
        <v/>
      </c>
      <c r="B94" t="str">
        <f>IF(Projects!B103&lt;&gt;"",Projects!B103,"")</f>
        <v/>
      </c>
      <c r="C94" t="str">
        <f>IF(AND(Projects!C103="", Projects!B103=""), "", IF(Projects!C103="", "None", Projects!C103))</f>
        <v/>
      </c>
      <c r="D94" t="str">
        <f>IF(AND(Projects!D103="", Projects!B103=""), "", IF(Projects!D103="", "No OpCo", Projects!D103))</f>
        <v/>
      </c>
      <c r="E94" t="str">
        <f>IF(Projects!E103&lt;&gt;"",Projects!E103,"")</f>
        <v/>
      </c>
      <c r="F94" t="str">
        <f>IF(Projects!F103&lt;&gt;"",Projects!F103,"")</f>
        <v/>
      </c>
      <c r="G94" s="45" t="str">
        <f>IF(Projects!G103&lt;&gt;"",Projects!G103,"")</f>
        <v/>
      </c>
      <c r="H94" s="45" t="str">
        <f>IF(Projects!H103&lt;&gt;"",Projects!H103,"")</f>
        <v/>
      </c>
      <c r="I94" s="45" t="str">
        <f>IF(Projects!I103&lt;&gt;"",Projects!I103,"")</f>
        <v/>
      </c>
      <c r="J94" s="45" t="str">
        <f>IF(Projects!J103&lt;&gt;"",Projects!J103,"")</f>
        <v/>
      </c>
      <c r="K94" s="45" t="str">
        <f>IF(Projects!K103&lt;&gt;"",Projects!K103,"")</f>
        <v/>
      </c>
      <c r="L94" t="str">
        <f>IF(AND(Projects!E103&lt;&gt;"", Projects!F103&lt;&gt;""),
INDEX('Duration Table'!$D$7:$H$17,MATCH(Projects!E103,'Duration Table'!$C$7:$C$17,0),MATCH(Projects!F103,'Duration Table'!$D$6:$H$6)),
   ""
)</f>
        <v/>
      </c>
      <c r="M94" s="45" t="str" cm="1">
        <f t="array" ref="M94">_xlfn.IFS(
    G94&lt;&gt;"",G94,
    H94&lt;&gt;"",EDATE(H94,-0.25*L94),
    N94&lt;&gt;"",EDATE(N94,-0.25*L94),
    TRUE,""
)</f>
        <v/>
      </c>
      <c r="N94" s="45" t="str" cm="1">
        <f t="array" ref="N94">_xlfn.IFS(
    H94&lt;&gt;"", H94,
    COUNT(G94,I94)=2, (G94 + (DATEDIF(G94,I94,"d")*0.5)),
    COUNT(G94,J94)=2, (G94 + (DATEDIF(G94,J94,"d")*0.25)),
    COUNT(G94,K94)=2, (G94 + ((DATEDIF(G94,K94,"d")-90)*0.25)),
    COUNT(I94,J94)=2, (I94 -(DATEDIF(I94,J94,"d")*0.5)),
    COUNT(I94,K94)=2, (I94 -((DATEDIF(I94,K94,"d")-90)*0.5)),
    G94&lt;&gt;"", EDATE(G94, + L94*0.25),
    I94&lt;&gt;"", EDATE(I94, - L94*0.25),
    J94&lt;&gt;"", EDATE(J94, - L94*0.75),
    K94&lt;&gt;"", EDATE(K94, -((L94*0.75)+3)),
    TRUE, ""
)</f>
        <v/>
      </c>
      <c r="O94" s="45" t="str" cm="1">
        <f t="array" ref="O94">_xlfn.IFS(
    I94&lt;&gt;"", I94,
    COUNT(H94,J94)=2, (H94 + (DATEDIF(H94,J94,"d")*0.33)),
    COUNT(H94,K94)=2, (H94 + ((DATEDIF(H94,K94,"d")-90)*0.33)),
    COUNT(G94,J94)=2, (G94 +  DATEDIF(G94,J94,"d")*0.5),
    COUNT(G94,K94)=2, (G94 + (DATEDIF(G94,K94,"d")-90)*0.5),
    G94&lt;&gt;"", EDATE(G94, + L94*0.5),
    H94&lt;&gt;"", EDATE(H94, + L94*0.25),
    J94&lt;&gt;"", EDATE(J94, - L94*0.5),
    K94&lt;&gt;"", EDATE(K94, -((L94*0.5)+3)),
    TRUE, ""
)</f>
        <v/>
      </c>
      <c r="P94" s="45" t="str" cm="1">
        <f t="array" ref="P94">_xlfn.IFS(
    J94&lt;&gt;"", J94,
    K94&lt;&gt;"", EDATE(K94, -3),
    G94&lt;&gt;"", EDATE(G94, + L94),
    H94&lt;&gt;"", EDATE(H94, + L94*0.75),
    I94&lt;&gt;"", EDATE(I94, H L94*0.5),
    TRUE, ""
)</f>
        <v/>
      </c>
      <c r="Q94" s="45" t="str" cm="1">
        <f t="array" ref="Q94">_xlfn.IFS(
    K94&lt;&gt;"",K94,
    J94&lt;&gt;"",EDATE(J94,3),
    P94&lt;&gt;"",EDATE(P94,3),
    TRUE,""
)</f>
        <v/>
      </c>
    </row>
    <row r="95" spans="1:17" x14ac:dyDescent="0.3">
      <c r="A95" t="str">
        <f>IF(AND(Projects!A104="", Projects!B104=""), "", IF(Projects!A104="", "Unassigned", Projects!A104))</f>
        <v/>
      </c>
      <c r="B95" t="str">
        <f>IF(Projects!B104&lt;&gt;"",Projects!B104,"")</f>
        <v/>
      </c>
      <c r="C95" t="str">
        <f>IF(AND(Projects!C104="", Projects!B104=""), "", IF(Projects!C104="", "None", Projects!C104))</f>
        <v/>
      </c>
      <c r="D95" t="str">
        <f>IF(AND(Projects!D104="", Projects!B104=""), "", IF(Projects!D104="", "No OpCo", Projects!D104))</f>
        <v/>
      </c>
      <c r="E95" t="str">
        <f>IF(Projects!E104&lt;&gt;"",Projects!E104,"")</f>
        <v/>
      </c>
      <c r="F95" t="str">
        <f>IF(Projects!F104&lt;&gt;"",Projects!F104,"")</f>
        <v/>
      </c>
      <c r="G95" s="45" t="str">
        <f>IF(Projects!G104&lt;&gt;"",Projects!G104,"")</f>
        <v/>
      </c>
      <c r="H95" s="45" t="str">
        <f>IF(Projects!H104&lt;&gt;"",Projects!H104,"")</f>
        <v/>
      </c>
      <c r="I95" s="45" t="str">
        <f>IF(Projects!I104&lt;&gt;"",Projects!I104,"")</f>
        <v/>
      </c>
      <c r="J95" s="45" t="str">
        <f>IF(Projects!J104&lt;&gt;"",Projects!J104,"")</f>
        <v/>
      </c>
      <c r="K95" s="45" t="str">
        <f>IF(Projects!K104&lt;&gt;"",Projects!K104,"")</f>
        <v/>
      </c>
      <c r="L95" t="str">
        <f>IF(AND(Projects!E104&lt;&gt;"", Projects!F104&lt;&gt;""),
INDEX('Duration Table'!$D$7:$H$17,MATCH(Projects!E104,'Duration Table'!$C$7:$C$17,0),MATCH(Projects!F104,'Duration Table'!$D$6:$H$6)),
   ""
)</f>
        <v/>
      </c>
      <c r="M95" s="45" t="str" cm="1">
        <f t="array" ref="M95">_xlfn.IFS(
    G95&lt;&gt;"",G95,
    H95&lt;&gt;"",EDATE(H95,-0.25*L95),
    N95&lt;&gt;"",EDATE(N95,-0.25*L95),
    TRUE,""
)</f>
        <v/>
      </c>
      <c r="N95" s="45" t="str" cm="1">
        <f t="array" ref="N95">_xlfn.IFS(
    H95&lt;&gt;"", H95,
    COUNT(G95,I95)=2, (G95 + (DATEDIF(G95,I95,"d")*0.5)),
    COUNT(G95,J95)=2, (G95 + (DATEDIF(G95,J95,"d")*0.25)),
    COUNT(G95,K95)=2, (G95 + ((DATEDIF(G95,K95,"d")-90)*0.25)),
    COUNT(I95,J95)=2, (I95 -(DATEDIF(I95,J95,"d")*0.5)),
    COUNT(I95,K95)=2, (I95 -((DATEDIF(I95,K95,"d")-90)*0.5)),
    G95&lt;&gt;"", EDATE(G95, + L95*0.25),
    I95&lt;&gt;"", EDATE(I95, - L95*0.25),
    J95&lt;&gt;"", EDATE(J95, - L95*0.75),
    K95&lt;&gt;"", EDATE(K95, -((L95*0.75)+3)),
    TRUE, ""
)</f>
        <v/>
      </c>
      <c r="O95" s="45" t="str" cm="1">
        <f t="array" ref="O95">_xlfn.IFS(
    I95&lt;&gt;"", I95,
    COUNT(H95,J95)=2, (H95 + (DATEDIF(H95,J95,"d")*0.33)),
    COUNT(H95,K95)=2, (H95 + ((DATEDIF(H95,K95,"d")-90)*0.33)),
    COUNT(G95,J95)=2, (G95 +  DATEDIF(G95,J95,"d")*0.5),
    COUNT(G95,K95)=2, (G95 + (DATEDIF(G95,K95,"d")-90)*0.5),
    G95&lt;&gt;"", EDATE(G95, + L95*0.5),
    H95&lt;&gt;"", EDATE(H95, + L95*0.25),
    J95&lt;&gt;"", EDATE(J95, - L95*0.5),
    K95&lt;&gt;"", EDATE(K95, -((L95*0.5)+3)),
    TRUE, ""
)</f>
        <v/>
      </c>
      <c r="P95" s="45" t="str" cm="1">
        <f t="array" ref="P95">_xlfn.IFS(
    J95&lt;&gt;"", J95,
    K95&lt;&gt;"", EDATE(K95, -3),
    G95&lt;&gt;"", EDATE(G95, + L95),
    H95&lt;&gt;"", EDATE(H95, + L95*0.75),
    I95&lt;&gt;"", EDATE(I95, H L95*0.5),
    TRUE, ""
)</f>
        <v/>
      </c>
      <c r="Q95" s="45" t="str" cm="1">
        <f t="array" ref="Q95">_xlfn.IFS(
    K95&lt;&gt;"",K95,
    J95&lt;&gt;"",EDATE(J95,3),
    P95&lt;&gt;"",EDATE(P95,3),
    TRUE,""
)</f>
        <v/>
      </c>
    </row>
    <row r="96" spans="1:17" x14ac:dyDescent="0.3">
      <c r="A96" t="str">
        <f>IF(AND(Projects!A105="", Projects!B105=""), "", IF(Projects!A105="", "Unassigned", Projects!A105))</f>
        <v/>
      </c>
      <c r="B96" t="str">
        <f>IF(Projects!B105&lt;&gt;"",Projects!B105,"")</f>
        <v/>
      </c>
      <c r="C96" t="str">
        <f>IF(AND(Projects!C105="", Projects!B105=""), "", IF(Projects!C105="", "None", Projects!C105))</f>
        <v/>
      </c>
      <c r="D96" t="str">
        <f>IF(AND(Projects!D105="", Projects!B105=""), "", IF(Projects!D105="", "No OpCo", Projects!D105))</f>
        <v/>
      </c>
      <c r="E96" t="str">
        <f>IF(Projects!E105&lt;&gt;"",Projects!E105,"")</f>
        <v/>
      </c>
      <c r="F96" t="str">
        <f>IF(Projects!F105&lt;&gt;"",Projects!F105,"")</f>
        <v/>
      </c>
      <c r="G96" s="45" t="str">
        <f>IF(Projects!G105&lt;&gt;"",Projects!G105,"")</f>
        <v/>
      </c>
      <c r="H96" s="45" t="str">
        <f>IF(Projects!H105&lt;&gt;"",Projects!H105,"")</f>
        <v/>
      </c>
      <c r="I96" s="45" t="str">
        <f>IF(Projects!I105&lt;&gt;"",Projects!I105,"")</f>
        <v/>
      </c>
      <c r="J96" s="45" t="str">
        <f>IF(Projects!J105&lt;&gt;"",Projects!J105,"")</f>
        <v/>
      </c>
      <c r="K96" s="45" t="str">
        <f>IF(Projects!K105&lt;&gt;"",Projects!K105,"")</f>
        <v/>
      </c>
      <c r="L96" t="str">
        <f>IF(AND(Projects!E105&lt;&gt;"", Projects!F105&lt;&gt;""),
INDEX('Duration Table'!$D$7:$H$17,MATCH(Projects!E105,'Duration Table'!$C$7:$C$17,0),MATCH(Projects!F105,'Duration Table'!$D$6:$H$6)),
   ""
)</f>
        <v/>
      </c>
      <c r="M96" s="45" t="str" cm="1">
        <f t="array" ref="M96">_xlfn.IFS(
    G96&lt;&gt;"",G96,
    H96&lt;&gt;"",EDATE(H96,-0.25*L96),
    N96&lt;&gt;"",EDATE(N96,-0.25*L96),
    TRUE,""
)</f>
        <v/>
      </c>
      <c r="N96" s="45" t="str" cm="1">
        <f t="array" ref="N96">_xlfn.IFS(
    H96&lt;&gt;"", H96,
    COUNT(G96,I96)=2, (G96 + (DATEDIF(G96,I96,"d")*0.5)),
    COUNT(G96,J96)=2, (G96 + (DATEDIF(G96,J96,"d")*0.25)),
    COUNT(G96,K96)=2, (G96 + ((DATEDIF(G96,K96,"d")-90)*0.25)),
    COUNT(I96,J96)=2, (I96 -(DATEDIF(I96,J96,"d")*0.5)),
    COUNT(I96,K96)=2, (I96 -((DATEDIF(I96,K96,"d")-90)*0.5)),
    G96&lt;&gt;"", EDATE(G96, + L96*0.25),
    I96&lt;&gt;"", EDATE(I96, - L96*0.25),
    J96&lt;&gt;"", EDATE(J96, - L96*0.75),
    K96&lt;&gt;"", EDATE(K96, -((L96*0.75)+3)),
    TRUE, ""
)</f>
        <v/>
      </c>
      <c r="O96" s="45" t="str" cm="1">
        <f t="array" ref="O96">_xlfn.IFS(
    I96&lt;&gt;"", I96,
    COUNT(H96,J96)=2, (H96 + (DATEDIF(H96,J96,"d")*0.33)),
    COUNT(H96,K96)=2, (H96 + ((DATEDIF(H96,K96,"d")-90)*0.33)),
    COUNT(G96,J96)=2, (G96 +  DATEDIF(G96,J96,"d")*0.5),
    COUNT(G96,K96)=2, (G96 + (DATEDIF(G96,K96,"d")-90)*0.5),
    G96&lt;&gt;"", EDATE(G96, + L96*0.5),
    H96&lt;&gt;"", EDATE(H96, + L96*0.25),
    J96&lt;&gt;"", EDATE(J96, - L96*0.5),
    K96&lt;&gt;"", EDATE(K96, -((L96*0.5)+3)),
    TRUE, ""
)</f>
        <v/>
      </c>
      <c r="P96" s="45" t="str" cm="1">
        <f t="array" ref="P96">_xlfn.IFS(
    J96&lt;&gt;"", J96,
    K96&lt;&gt;"", EDATE(K96, -3),
    G96&lt;&gt;"", EDATE(G96, + L96),
    H96&lt;&gt;"", EDATE(H96, + L96*0.75),
    I96&lt;&gt;"", EDATE(I96, H L96*0.5),
    TRUE, ""
)</f>
        <v/>
      </c>
      <c r="Q96" s="45" t="str" cm="1">
        <f t="array" ref="Q96">_xlfn.IFS(
    K96&lt;&gt;"",K96,
    J96&lt;&gt;"",EDATE(J96,3),
    P96&lt;&gt;"",EDATE(P96,3),
    TRUE,""
)</f>
        <v/>
      </c>
    </row>
    <row r="97" spans="1:17" x14ac:dyDescent="0.3">
      <c r="A97" t="str">
        <f>IF(AND(Projects!A106="", Projects!B106=""), "", IF(Projects!A106="", "Unassigned", Projects!A106))</f>
        <v/>
      </c>
      <c r="B97" t="str">
        <f>IF(Projects!B106&lt;&gt;"",Projects!B106,"")</f>
        <v/>
      </c>
      <c r="C97" t="str">
        <f>IF(AND(Projects!C106="", Projects!B106=""), "", IF(Projects!C106="", "None", Projects!C106))</f>
        <v/>
      </c>
      <c r="D97" t="str">
        <f>IF(AND(Projects!D106="", Projects!B106=""), "", IF(Projects!D106="", "No OpCo", Projects!D106))</f>
        <v/>
      </c>
      <c r="E97" t="str">
        <f>IF(Projects!E106&lt;&gt;"",Projects!E106,"")</f>
        <v/>
      </c>
      <c r="F97" t="str">
        <f>IF(Projects!F106&lt;&gt;"",Projects!F106,"")</f>
        <v/>
      </c>
      <c r="G97" s="45" t="str">
        <f>IF(Projects!G106&lt;&gt;"",Projects!G106,"")</f>
        <v/>
      </c>
      <c r="H97" s="45" t="str">
        <f>IF(Projects!H106&lt;&gt;"",Projects!H106,"")</f>
        <v/>
      </c>
      <c r="I97" s="45" t="str">
        <f>IF(Projects!I106&lt;&gt;"",Projects!I106,"")</f>
        <v/>
      </c>
      <c r="J97" s="45" t="str">
        <f>IF(Projects!J106&lt;&gt;"",Projects!J106,"")</f>
        <v/>
      </c>
      <c r="K97" s="45" t="str">
        <f>IF(Projects!K106&lt;&gt;"",Projects!K106,"")</f>
        <v/>
      </c>
      <c r="L97" t="str">
        <f>IF(AND(Projects!E106&lt;&gt;"", Projects!F106&lt;&gt;""),
INDEX('Duration Table'!$D$7:$H$17,MATCH(Projects!E106,'Duration Table'!$C$7:$C$17,0),MATCH(Projects!F106,'Duration Table'!$D$6:$H$6)),
   ""
)</f>
        <v/>
      </c>
      <c r="M97" s="45" t="str" cm="1">
        <f t="array" ref="M97">_xlfn.IFS(
    G97&lt;&gt;"",G97,
    H97&lt;&gt;"",EDATE(H97,-0.25*L97),
    N97&lt;&gt;"",EDATE(N97,-0.25*L97),
    TRUE,""
)</f>
        <v/>
      </c>
      <c r="N97" s="45" t="str" cm="1">
        <f t="array" ref="N97">_xlfn.IFS(
    H97&lt;&gt;"", H97,
    COUNT(G97,I97)=2, (G97 + (DATEDIF(G97,I97,"d")*0.5)),
    COUNT(G97,J97)=2, (G97 + (DATEDIF(G97,J97,"d")*0.25)),
    COUNT(G97,K97)=2, (G97 + ((DATEDIF(G97,K97,"d")-90)*0.25)),
    COUNT(I97,J97)=2, (I97 -(DATEDIF(I97,J97,"d")*0.5)),
    COUNT(I97,K97)=2, (I97 -((DATEDIF(I97,K97,"d")-90)*0.5)),
    G97&lt;&gt;"", EDATE(G97, + L97*0.25),
    I97&lt;&gt;"", EDATE(I97, - L97*0.25),
    J97&lt;&gt;"", EDATE(J97, - L97*0.75),
    K97&lt;&gt;"", EDATE(K97, -((L97*0.75)+3)),
    TRUE, ""
)</f>
        <v/>
      </c>
      <c r="O97" s="45" t="str" cm="1">
        <f t="array" ref="O97">_xlfn.IFS(
    I97&lt;&gt;"", I97,
    COUNT(H97,J97)=2, (H97 + (DATEDIF(H97,J97,"d")*0.33)),
    COUNT(H97,K97)=2, (H97 + ((DATEDIF(H97,K97,"d")-90)*0.33)),
    COUNT(G97,J97)=2, (G97 +  DATEDIF(G97,J97,"d")*0.5),
    COUNT(G97,K97)=2, (G97 + (DATEDIF(G97,K97,"d")-90)*0.5),
    G97&lt;&gt;"", EDATE(G97, + L97*0.5),
    H97&lt;&gt;"", EDATE(H97, + L97*0.25),
    J97&lt;&gt;"", EDATE(J97, - L97*0.5),
    K97&lt;&gt;"", EDATE(K97, -((L97*0.5)+3)),
    TRUE, ""
)</f>
        <v/>
      </c>
      <c r="P97" s="45" t="str" cm="1">
        <f t="array" ref="P97">_xlfn.IFS(
    J97&lt;&gt;"", J97,
    K97&lt;&gt;"", EDATE(K97, -3),
    G97&lt;&gt;"", EDATE(G97, + L97),
    H97&lt;&gt;"", EDATE(H97, + L97*0.75),
    I97&lt;&gt;"", EDATE(I97, H L97*0.5),
    TRUE, ""
)</f>
        <v/>
      </c>
      <c r="Q97" s="45" t="str" cm="1">
        <f t="array" ref="Q97">_xlfn.IFS(
    K97&lt;&gt;"",K97,
    J97&lt;&gt;"",EDATE(J97,3),
    P97&lt;&gt;"",EDATE(P97,3),
    TRUE,""
)</f>
        <v/>
      </c>
    </row>
    <row r="98" spans="1:17" x14ac:dyDescent="0.3">
      <c r="A98" t="str">
        <f>IF(AND(Projects!A107="", Projects!B107=""), "", IF(Projects!A107="", "Unassigned", Projects!A107))</f>
        <v/>
      </c>
      <c r="B98" t="str">
        <f>IF(Projects!B107&lt;&gt;"",Projects!B107,"")</f>
        <v/>
      </c>
      <c r="C98" t="str">
        <f>IF(AND(Projects!C107="", Projects!B107=""), "", IF(Projects!C107="", "None", Projects!C107))</f>
        <v/>
      </c>
      <c r="D98" t="str">
        <f>IF(AND(Projects!D107="", Projects!B107=""), "", IF(Projects!D107="", "No OpCo", Projects!D107))</f>
        <v/>
      </c>
      <c r="E98" t="str">
        <f>IF(Projects!E107&lt;&gt;"",Projects!E107,"")</f>
        <v/>
      </c>
      <c r="F98" t="str">
        <f>IF(Projects!F107&lt;&gt;"",Projects!F107,"")</f>
        <v/>
      </c>
      <c r="G98" s="45" t="str">
        <f>IF(Projects!G107&lt;&gt;"",Projects!G107,"")</f>
        <v/>
      </c>
      <c r="H98" s="45" t="str">
        <f>IF(Projects!H107&lt;&gt;"",Projects!H107,"")</f>
        <v/>
      </c>
      <c r="I98" s="45" t="str">
        <f>IF(Projects!I107&lt;&gt;"",Projects!I107,"")</f>
        <v/>
      </c>
      <c r="J98" s="45" t="str">
        <f>IF(Projects!J107&lt;&gt;"",Projects!J107,"")</f>
        <v/>
      </c>
      <c r="K98" s="45" t="str">
        <f>IF(Projects!K107&lt;&gt;"",Projects!K107,"")</f>
        <v/>
      </c>
      <c r="L98" t="str">
        <f>IF(AND(Projects!E107&lt;&gt;"", Projects!F107&lt;&gt;""),
INDEX('Duration Table'!$D$7:$H$17,MATCH(Projects!E107,'Duration Table'!$C$7:$C$17,0),MATCH(Projects!F107,'Duration Table'!$D$6:$H$6)),
   ""
)</f>
        <v/>
      </c>
      <c r="M98" s="45" t="str" cm="1">
        <f t="array" ref="M98">_xlfn.IFS(
    G98&lt;&gt;"",G98,
    H98&lt;&gt;"",EDATE(H98,-0.25*L98),
    N98&lt;&gt;"",EDATE(N98,-0.25*L98),
    TRUE,""
)</f>
        <v/>
      </c>
      <c r="N98" s="45" t="str" cm="1">
        <f t="array" ref="N98">_xlfn.IFS(
    H98&lt;&gt;"", H98,
    COUNT(G98,I98)=2, (G98 + (DATEDIF(G98,I98,"d")*0.5)),
    COUNT(G98,J98)=2, (G98 + (DATEDIF(G98,J98,"d")*0.25)),
    COUNT(G98,K98)=2, (G98 + ((DATEDIF(G98,K98,"d")-90)*0.25)),
    COUNT(I98,J98)=2, (I98 -(DATEDIF(I98,J98,"d")*0.5)),
    COUNT(I98,K98)=2, (I98 -((DATEDIF(I98,K98,"d")-90)*0.5)),
    G98&lt;&gt;"", EDATE(G98, + L98*0.25),
    I98&lt;&gt;"", EDATE(I98, - L98*0.25),
    J98&lt;&gt;"", EDATE(J98, - L98*0.75),
    K98&lt;&gt;"", EDATE(K98, -((L98*0.75)+3)),
    TRUE, ""
)</f>
        <v/>
      </c>
      <c r="O98" s="45" t="str" cm="1">
        <f t="array" ref="O98">_xlfn.IFS(
    I98&lt;&gt;"", I98,
    COUNT(H98,J98)=2, (H98 + (DATEDIF(H98,J98,"d")*0.33)),
    COUNT(H98,K98)=2, (H98 + ((DATEDIF(H98,K98,"d")-90)*0.33)),
    COUNT(G98,J98)=2, (G98 +  DATEDIF(G98,J98,"d")*0.5),
    COUNT(G98,K98)=2, (G98 + (DATEDIF(G98,K98,"d")-90)*0.5),
    G98&lt;&gt;"", EDATE(G98, + L98*0.5),
    H98&lt;&gt;"", EDATE(H98, + L98*0.25),
    J98&lt;&gt;"", EDATE(J98, - L98*0.5),
    K98&lt;&gt;"", EDATE(K98, -((L98*0.5)+3)),
    TRUE, ""
)</f>
        <v/>
      </c>
      <c r="P98" s="45" t="str" cm="1">
        <f t="array" ref="P98">_xlfn.IFS(
    J98&lt;&gt;"", J98,
    K98&lt;&gt;"", EDATE(K98, -3),
    G98&lt;&gt;"", EDATE(G98, + L98),
    H98&lt;&gt;"", EDATE(H98, + L98*0.75),
    I98&lt;&gt;"", EDATE(I98, H L98*0.5),
    TRUE, ""
)</f>
        <v/>
      </c>
      <c r="Q98" s="45" t="str" cm="1">
        <f t="array" ref="Q98">_xlfn.IFS(
    K98&lt;&gt;"",K98,
    J98&lt;&gt;"",EDATE(J98,3),
    P98&lt;&gt;"",EDATE(P98,3),
    TRUE,""
)</f>
        <v/>
      </c>
    </row>
    <row r="99" spans="1:17" x14ac:dyDescent="0.3">
      <c r="A99" t="str">
        <f>IF(AND(Projects!A108="", Projects!B108=""), "", IF(Projects!A108="", "Unassigned", Projects!A108))</f>
        <v/>
      </c>
      <c r="B99" t="str">
        <f>IF(Projects!B108&lt;&gt;"",Projects!B108,"")</f>
        <v/>
      </c>
      <c r="C99" t="str">
        <f>IF(AND(Projects!C108="", Projects!B108=""), "", IF(Projects!C108="", "None", Projects!C108))</f>
        <v/>
      </c>
      <c r="D99" t="str">
        <f>IF(AND(Projects!D108="", Projects!B108=""), "", IF(Projects!D108="", "No OpCo", Projects!D108))</f>
        <v/>
      </c>
      <c r="E99" t="str">
        <f>IF(Projects!E108&lt;&gt;"",Projects!E108,"")</f>
        <v/>
      </c>
      <c r="F99" t="str">
        <f>IF(Projects!F108&lt;&gt;"",Projects!F108,"")</f>
        <v/>
      </c>
      <c r="G99" s="45" t="str">
        <f>IF(Projects!G108&lt;&gt;"",Projects!G108,"")</f>
        <v/>
      </c>
      <c r="H99" s="45" t="str">
        <f>IF(Projects!H108&lt;&gt;"",Projects!H108,"")</f>
        <v/>
      </c>
      <c r="I99" s="45" t="str">
        <f>IF(Projects!I108&lt;&gt;"",Projects!I108,"")</f>
        <v/>
      </c>
      <c r="J99" s="45" t="str">
        <f>IF(Projects!J108&lt;&gt;"",Projects!J108,"")</f>
        <v/>
      </c>
      <c r="K99" s="45" t="str">
        <f>IF(Projects!K108&lt;&gt;"",Projects!K108,"")</f>
        <v/>
      </c>
      <c r="L99" t="str">
        <f>IF(AND(Projects!E108&lt;&gt;"", Projects!F108&lt;&gt;""),
INDEX('Duration Table'!$D$7:$H$17,MATCH(Projects!E108,'Duration Table'!$C$7:$C$17,0),MATCH(Projects!F108,'Duration Table'!$D$6:$H$6)),
   ""
)</f>
        <v/>
      </c>
      <c r="M99" s="45" t="str" cm="1">
        <f t="array" ref="M99">_xlfn.IFS(
    G99&lt;&gt;"",G99,
    H99&lt;&gt;"",EDATE(H99,-0.25*L99),
    N99&lt;&gt;"",EDATE(N99,-0.25*L99),
    TRUE,""
)</f>
        <v/>
      </c>
      <c r="N99" s="45" t="str" cm="1">
        <f t="array" ref="N99">_xlfn.IFS(
    H99&lt;&gt;"", H99,
    COUNT(G99,I99)=2, (G99 + (DATEDIF(G99,I99,"d")*0.5)),
    COUNT(G99,J99)=2, (G99 + (DATEDIF(G99,J99,"d")*0.25)),
    COUNT(G99,K99)=2, (G99 + ((DATEDIF(G99,K99,"d")-90)*0.25)),
    COUNT(I99,J99)=2, (I99 -(DATEDIF(I99,J99,"d")*0.5)),
    COUNT(I99,K99)=2, (I99 -((DATEDIF(I99,K99,"d")-90)*0.5)),
    G99&lt;&gt;"", EDATE(G99, + L99*0.25),
    I99&lt;&gt;"", EDATE(I99, - L99*0.25),
    J99&lt;&gt;"", EDATE(J99, - L99*0.75),
    K99&lt;&gt;"", EDATE(K99, -((L99*0.75)+3)),
    TRUE, ""
)</f>
        <v/>
      </c>
      <c r="O99" s="45" t="str" cm="1">
        <f t="array" ref="O99">_xlfn.IFS(
    I99&lt;&gt;"", I99,
    COUNT(H99,J99)=2, (H99 + (DATEDIF(H99,J99,"d")*0.33)),
    COUNT(H99,K99)=2, (H99 + ((DATEDIF(H99,K99,"d")-90)*0.33)),
    COUNT(G99,J99)=2, (G99 +  DATEDIF(G99,J99,"d")*0.5),
    COUNT(G99,K99)=2, (G99 + (DATEDIF(G99,K99,"d")-90)*0.5),
    G99&lt;&gt;"", EDATE(G99, + L99*0.5),
    H99&lt;&gt;"", EDATE(H99, + L99*0.25),
    J99&lt;&gt;"", EDATE(J99, - L99*0.5),
    K99&lt;&gt;"", EDATE(K99, -((L99*0.5)+3)),
    TRUE, ""
)</f>
        <v/>
      </c>
      <c r="P99" s="45" t="str" cm="1">
        <f t="array" ref="P99">_xlfn.IFS(
    J99&lt;&gt;"", J99,
    K99&lt;&gt;"", EDATE(K99, -3),
    G99&lt;&gt;"", EDATE(G99, + L99),
    H99&lt;&gt;"", EDATE(H99, + L99*0.75),
    I99&lt;&gt;"", EDATE(I99, H L99*0.5),
    TRUE, ""
)</f>
        <v/>
      </c>
      <c r="Q99" s="45" t="str" cm="1">
        <f t="array" ref="Q99">_xlfn.IFS(
    K99&lt;&gt;"",K99,
    J99&lt;&gt;"",EDATE(J99,3),
    P99&lt;&gt;"",EDATE(P99,3),
    TRUE,""
)</f>
        <v/>
      </c>
    </row>
    <row r="100" spans="1:17" x14ac:dyDescent="0.3">
      <c r="A100" t="str">
        <f>IF(AND(Projects!A109="", Projects!B109=""), "", IF(Projects!A109="", "Unassigned", Projects!A109))</f>
        <v/>
      </c>
      <c r="B100" t="str">
        <f>IF(Projects!B109&lt;&gt;"",Projects!B109,"")</f>
        <v/>
      </c>
      <c r="C100" t="str">
        <f>IF(AND(Projects!C109="", Projects!B109=""), "", IF(Projects!C109="", "None", Projects!C109))</f>
        <v/>
      </c>
      <c r="D100" t="str">
        <f>IF(AND(Projects!D109="", Projects!B109=""), "", IF(Projects!D109="", "No OpCo", Projects!D109))</f>
        <v/>
      </c>
      <c r="E100" t="str">
        <f>IF(Projects!E109&lt;&gt;"",Projects!E109,"")</f>
        <v/>
      </c>
      <c r="F100" t="str">
        <f>IF(Projects!F109&lt;&gt;"",Projects!F109,"")</f>
        <v/>
      </c>
      <c r="G100" s="45" t="str">
        <f>IF(Projects!G109&lt;&gt;"",Projects!G109,"")</f>
        <v/>
      </c>
      <c r="H100" s="45" t="str">
        <f>IF(Projects!H109&lt;&gt;"",Projects!H109,"")</f>
        <v/>
      </c>
      <c r="I100" s="45" t="str">
        <f>IF(Projects!I109&lt;&gt;"",Projects!I109,"")</f>
        <v/>
      </c>
      <c r="J100" s="45" t="str">
        <f>IF(Projects!J109&lt;&gt;"",Projects!J109,"")</f>
        <v/>
      </c>
      <c r="K100" s="45" t="str">
        <f>IF(Projects!K109&lt;&gt;"",Projects!K109,"")</f>
        <v/>
      </c>
      <c r="L100" t="str">
        <f>IF(AND(Projects!E109&lt;&gt;"", Projects!F109&lt;&gt;""),
INDEX('Duration Table'!$D$7:$H$17,MATCH(Projects!E109,'Duration Table'!$C$7:$C$17,0),MATCH(Projects!F109,'Duration Table'!$D$6:$H$6)),
   ""
)</f>
        <v/>
      </c>
      <c r="M100" s="45" t="str" cm="1">
        <f t="array" ref="M100">_xlfn.IFS(
    G100&lt;&gt;"",G100,
    H100&lt;&gt;"",EDATE(H100,-0.25*L100),
    N100&lt;&gt;"",EDATE(N100,-0.25*L100),
    TRUE,""
)</f>
        <v/>
      </c>
      <c r="N100" s="45" t="str" cm="1">
        <f t="array" ref="N100">_xlfn.IFS(
    H100&lt;&gt;"", H100,
    COUNT(G100,I100)=2, (G100 + (DATEDIF(G100,I100,"d")*0.5)),
    COUNT(G100,J100)=2, (G100 + (DATEDIF(G100,J100,"d")*0.25)),
    COUNT(G100,K100)=2, (G100 + ((DATEDIF(G100,K100,"d")-90)*0.25)),
    COUNT(I100,J100)=2, (I100 -(DATEDIF(I100,J100,"d")*0.5)),
    COUNT(I100,K100)=2, (I100 -((DATEDIF(I100,K100,"d")-90)*0.5)),
    G100&lt;&gt;"", EDATE(G100, + L100*0.25),
    I100&lt;&gt;"", EDATE(I100, - L100*0.25),
    J100&lt;&gt;"", EDATE(J100, - L100*0.75),
    K100&lt;&gt;"", EDATE(K100, -((L100*0.75)+3)),
    TRUE, ""
)</f>
        <v/>
      </c>
      <c r="O100" s="45" t="str" cm="1">
        <f t="array" ref="O100">_xlfn.IFS(
    I100&lt;&gt;"", I100,
    COUNT(H100,J100)=2, (H100 + (DATEDIF(H100,J100,"d")*0.33)),
    COUNT(H100,K100)=2, (H100 + ((DATEDIF(H100,K100,"d")-90)*0.33)),
    COUNT(G100,J100)=2, (G100 +  DATEDIF(G100,J100,"d")*0.5),
    COUNT(G100,K100)=2, (G100 + (DATEDIF(G100,K100,"d")-90)*0.5),
    G100&lt;&gt;"", EDATE(G100, + L100*0.5),
    H100&lt;&gt;"", EDATE(H100, + L100*0.25),
    J100&lt;&gt;"", EDATE(J100, - L100*0.5),
    K100&lt;&gt;"", EDATE(K100, -((L100*0.5)+3)),
    TRUE, ""
)</f>
        <v/>
      </c>
      <c r="P100" s="45" t="str" cm="1">
        <f t="array" ref="P100">_xlfn.IFS(
    J100&lt;&gt;"", J100,
    K100&lt;&gt;"", EDATE(K100, -3),
    G100&lt;&gt;"", EDATE(G100, + L100),
    H100&lt;&gt;"", EDATE(H100, + L100*0.75),
    I100&lt;&gt;"", EDATE(I100, H L100*0.5),
    TRUE, ""
)</f>
        <v/>
      </c>
      <c r="Q100" s="45" t="str" cm="1">
        <f t="array" ref="Q100">_xlfn.IFS(
    K100&lt;&gt;"",K100,
    J100&lt;&gt;"",EDATE(J100,3),
    P100&lt;&gt;"",EDATE(P100,3),
    TRUE,""
)</f>
        <v/>
      </c>
    </row>
    <row r="101" spans="1:17" x14ac:dyDescent="0.3">
      <c r="A101" t="str">
        <f>IF(AND(Projects!A110="", Projects!B110=""), "", IF(Projects!A110="", "Unassigned", Projects!A110))</f>
        <v/>
      </c>
      <c r="B101" t="str">
        <f>IF(Projects!B110&lt;&gt;"",Projects!B110,"")</f>
        <v/>
      </c>
      <c r="C101" t="str">
        <f>IF(AND(Projects!C110="", Projects!B110=""), "", IF(Projects!C110="", "None", Projects!C110))</f>
        <v/>
      </c>
      <c r="D101" t="str">
        <f>IF(AND(Projects!D110="", Projects!B110=""), "", IF(Projects!D110="", "No OpCo", Projects!D110))</f>
        <v/>
      </c>
      <c r="E101" t="str">
        <f>IF(Projects!E110&lt;&gt;"",Projects!E110,"")</f>
        <v/>
      </c>
      <c r="F101" t="str">
        <f>IF(Projects!F110&lt;&gt;"",Projects!F110,"")</f>
        <v/>
      </c>
      <c r="G101" s="45" t="str">
        <f>IF(Projects!G110&lt;&gt;"",Projects!G110,"")</f>
        <v/>
      </c>
      <c r="H101" s="45" t="str">
        <f>IF(Projects!H110&lt;&gt;"",Projects!H110,"")</f>
        <v/>
      </c>
      <c r="I101" s="45" t="str">
        <f>IF(Projects!I110&lt;&gt;"",Projects!I110,"")</f>
        <v/>
      </c>
      <c r="J101" s="45" t="str">
        <f>IF(Projects!J110&lt;&gt;"",Projects!J110,"")</f>
        <v/>
      </c>
      <c r="K101" s="45" t="str">
        <f>IF(Projects!K110&lt;&gt;"",Projects!K110,"")</f>
        <v/>
      </c>
      <c r="L101" t="str">
        <f>IF(AND(Projects!E110&lt;&gt;"", Projects!F110&lt;&gt;""),
INDEX('Duration Table'!$D$7:$H$17,MATCH(Projects!E110,'Duration Table'!$C$7:$C$17,0),MATCH(Projects!F110,'Duration Table'!$D$6:$H$6)),
   ""
)</f>
        <v/>
      </c>
      <c r="M101" s="45" t="str" cm="1">
        <f t="array" ref="M101">_xlfn.IFS(
    G101&lt;&gt;"",G101,
    H101&lt;&gt;"",EDATE(H101,-0.25*L101),
    N101&lt;&gt;"",EDATE(N101,-0.25*L101),
    TRUE,""
)</f>
        <v/>
      </c>
      <c r="N101" s="45" t="str" cm="1">
        <f t="array" ref="N101">_xlfn.IFS(
    H101&lt;&gt;"", H101,
    COUNT(G101,I101)=2, (G101 + (DATEDIF(G101,I101,"d")*0.5)),
    COUNT(G101,J101)=2, (G101 + (DATEDIF(G101,J101,"d")*0.25)),
    COUNT(G101,K101)=2, (G101 + ((DATEDIF(G101,K101,"d")-90)*0.25)),
    COUNT(I101,J101)=2, (I101 -(DATEDIF(I101,J101,"d")*0.5)),
    COUNT(I101,K101)=2, (I101 -((DATEDIF(I101,K101,"d")-90)*0.5)),
    G101&lt;&gt;"", EDATE(G101, + L101*0.25),
    I101&lt;&gt;"", EDATE(I101, - L101*0.25),
    J101&lt;&gt;"", EDATE(J101, - L101*0.75),
    K101&lt;&gt;"", EDATE(K101, -((L101*0.75)+3)),
    TRUE, ""
)</f>
        <v/>
      </c>
      <c r="O101" s="45" t="str" cm="1">
        <f t="array" ref="O101">_xlfn.IFS(
    I101&lt;&gt;"", I101,
    COUNT(H101,J101)=2, (H101 + (DATEDIF(H101,J101,"d")*0.33)),
    COUNT(H101,K101)=2, (H101 + ((DATEDIF(H101,K101,"d")-90)*0.33)),
    COUNT(G101,J101)=2, (G101 +  DATEDIF(G101,J101,"d")*0.5),
    COUNT(G101,K101)=2, (G101 + (DATEDIF(G101,K101,"d")-90)*0.5),
    G101&lt;&gt;"", EDATE(G101, + L101*0.5),
    H101&lt;&gt;"", EDATE(H101, + L101*0.25),
    J101&lt;&gt;"", EDATE(J101, - L101*0.5),
    K101&lt;&gt;"", EDATE(K101, -((L101*0.5)+3)),
    TRUE, ""
)</f>
        <v/>
      </c>
      <c r="P101" s="45" t="str" cm="1">
        <f t="array" ref="P101">_xlfn.IFS(
    J101&lt;&gt;"", J101,
    K101&lt;&gt;"", EDATE(K101, -3),
    G101&lt;&gt;"", EDATE(G101, + L101),
    H101&lt;&gt;"", EDATE(H101, + L101*0.75),
    I101&lt;&gt;"", EDATE(I101, H L101*0.5),
    TRUE, ""
)</f>
        <v/>
      </c>
      <c r="Q101" s="45" t="str" cm="1">
        <f t="array" ref="Q101">_xlfn.IFS(
    K101&lt;&gt;"",K101,
    J101&lt;&gt;"",EDATE(J101,3),
    P101&lt;&gt;"",EDATE(P101,3),
    TRUE,""
)</f>
        <v/>
      </c>
    </row>
    <row r="102" spans="1:17" x14ac:dyDescent="0.3">
      <c r="A102" t="str">
        <f>IF(AND(Projects!A111="", Projects!B111=""), "", IF(Projects!A111="", "Unassigned", Projects!A111))</f>
        <v/>
      </c>
      <c r="B102" t="str">
        <f>IF(Projects!B111&lt;&gt;"",Projects!B111,"")</f>
        <v/>
      </c>
      <c r="C102" t="str">
        <f>IF(AND(Projects!C111="", Projects!B111=""), "", IF(Projects!C111="", "None", Projects!C111))</f>
        <v/>
      </c>
      <c r="D102" t="str">
        <f>IF(AND(Projects!D111="", Projects!B111=""), "", IF(Projects!D111="", "No OpCo", Projects!D111))</f>
        <v/>
      </c>
      <c r="E102" t="str">
        <f>IF(Projects!E111&lt;&gt;"",Projects!E111,"")</f>
        <v/>
      </c>
      <c r="F102" t="str">
        <f>IF(Projects!F111&lt;&gt;"",Projects!F111,"")</f>
        <v/>
      </c>
      <c r="G102" s="45" t="str">
        <f>IF(Projects!G111&lt;&gt;"",Projects!G111,"")</f>
        <v/>
      </c>
      <c r="H102" s="45" t="str">
        <f>IF(Projects!H111&lt;&gt;"",Projects!H111,"")</f>
        <v/>
      </c>
      <c r="I102" s="45" t="str">
        <f>IF(Projects!I111&lt;&gt;"",Projects!I111,"")</f>
        <v/>
      </c>
      <c r="J102" s="45" t="str">
        <f>IF(Projects!J111&lt;&gt;"",Projects!J111,"")</f>
        <v/>
      </c>
      <c r="K102" s="45" t="str">
        <f>IF(Projects!K111&lt;&gt;"",Projects!K111,"")</f>
        <v/>
      </c>
      <c r="L102" t="str">
        <f>IF(AND(Projects!E111&lt;&gt;"", Projects!F111&lt;&gt;""),
INDEX('Duration Table'!$D$7:$H$17,MATCH(Projects!E111,'Duration Table'!$C$7:$C$17,0),MATCH(Projects!F111,'Duration Table'!$D$6:$H$6)),
   ""
)</f>
        <v/>
      </c>
      <c r="M102" s="45" t="str" cm="1">
        <f t="array" ref="M102">_xlfn.IFS(
    G102&lt;&gt;"",G102,
    H102&lt;&gt;"",EDATE(H102,-0.25*L102),
    N102&lt;&gt;"",EDATE(N102,-0.25*L102),
    TRUE,""
)</f>
        <v/>
      </c>
      <c r="N102" s="45" t="str" cm="1">
        <f t="array" ref="N102">_xlfn.IFS(
    H102&lt;&gt;"", H102,
    COUNT(G102,I102)=2, (G102 + (DATEDIF(G102,I102,"d")*0.5)),
    COUNT(G102,J102)=2, (G102 + (DATEDIF(G102,J102,"d")*0.25)),
    COUNT(G102,K102)=2, (G102 + ((DATEDIF(G102,K102,"d")-90)*0.25)),
    COUNT(I102,J102)=2, (I102 -(DATEDIF(I102,J102,"d")*0.5)),
    COUNT(I102,K102)=2, (I102 -((DATEDIF(I102,K102,"d")-90)*0.5)),
    G102&lt;&gt;"", EDATE(G102, + L102*0.25),
    I102&lt;&gt;"", EDATE(I102, - L102*0.25),
    J102&lt;&gt;"", EDATE(J102, - L102*0.75),
    K102&lt;&gt;"", EDATE(K102, -((L102*0.75)+3)),
    TRUE, ""
)</f>
        <v/>
      </c>
      <c r="O102" s="45" t="str" cm="1">
        <f t="array" ref="O102">_xlfn.IFS(
    I102&lt;&gt;"", I102,
    COUNT(H102,J102)=2, (H102 + (DATEDIF(H102,J102,"d")*0.33)),
    COUNT(H102,K102)=2, (H102 + ((DATEDIF(H102,K102,"d")-90)*0.33)),
    COUNT(G102,J102)=2, (G102 +  DATEDIF(G102,J102,"d")*0.5),
    COUNT(G102,K102)=2, (G102 + (DATEDIF(G102,K102,"d")-90)*0.5),
    G102&lt;&gt;"", EDATE(G102, + L102*0.5),
    H102&lt;&gt;"", EDATE(H102, + L102*0.25),
    J102&lt;&gt;"", EDATE(J102, - L102*0.5),
    K102&lt;&gt;"", EDATE(K102, -((L102*0.5)+3)),
    TRUE, ""
)</f>
        <v/>
      </c>
      <c r="P102" s="45" t="str" cm="1">
        <f t="array" ref="P102">_xlfn.IFS(
    J102&lt;&gt;"", J102,
    K102&lt;&gt;"", EDATE(K102, -3),
    G102&lt;&gt;"", EDATE(G102, + L102),
    H102&lt;&gt;"", EDATE(H102, + L102*0.75),
    I102&lt;&gt;"", EDATE(I102, H L102*0.5),
    TRUE, ""
)</f>
        <v/>
      </c>
      <c r="Q102" s="45" t="str" cm="1">
        <f t="array" ref="Q102">_xlfn.IFS(
    K102&lt;&gt;"",K102,
    J102&lt;&gt;"",EDATE(J102,3),
    P102&lt;&gt;"",EDATE(P102,3),
    TRUE,""
)</f>
        <v/>
      </c>
    </row>
    <row r="103" spans="1:17" x14ac:dyDescent="0.3">
      <c r="A103" t="str">
        <f>IF(AND(Projects!A112="", Projects!B112=""), "", IF(Projects!A112="", "Unassigned", Projects!A112))</f>
        <v/>
      </c>
      <c r="B103" t="str">
        <f>IF(Projects!B112&lt;&gt;"",Projects!B112,"")</f>
        <v/>
      </c>
      <c r="C103" t="str">
        <f>IF(AND(Projects!C112="", Projects!B112=""), "", IF(Projects!C112="", "None", Projects!C112))</f>
        <v/>
      </c>
      <c r="D103" t="str">
        <f>IF(AND(Projects!D112="", Projects!B112=""), "", IF(Projects!D112="", "No OpCo", Projects!D112))</f>
        <v/>
      </c>
      <c r="E103" t="str">
        <f>IF(Projects!E112&lt;&gt;"",Projects!E112,"")</f>
        <v/>
      </c>
      <c r="F103" t="str">
        <f>IF(Projects!F112&lt;&gt;"",Projects!F112,"")</f>
        <v/>
      </c>
      <c r="G103" s="45" t="str">
        <f>IF(Projects!G112&lt;&gt;"",Projects!G112,"")</f>
        <v/>
      </c>
      <c r="H103" s="45" t="str">
        <f>IF(Projects!H112&lt;&gt;"",Projects!H112,"")</f>
        <v/>
      </c>
      <c r="I103" s="45" t="str">
        <f>IF(Projects!I112&lt;&gt;"",Projects!I112,"")</f>
        <v/>
      </c>
      <c r="J103" s="45" t="str">
        <f>IF(Projects!J112&lt;&gt;"",Projects!J112,"")</f>
        <v/>
      </c>
      <c r="K103" s="45" t="str">
        <f>IF(Projects!K112&lt;&gt;"",Projects!K112,"")</f>
        <v/>
      </c>
      <c r="L103" t="str">
        <f>IF(AND(Projects!E112&lt;&gt;"", Projects!F112&lt;&gt;""),
INDEX('Duration Table'!$D$7:$H$17,MATCH(Projects!E112,'Duration Table'!$C$7:$C$17,0),MATCH(Projects!F112,'Duration Table'!$D$6:$H$6)),
   ""
)</f>
        <v/>
      </c>
      <c r="M103" s="45" t="str" cm="1">
        <f t="array" ref="M103">_xlfn.IFS(
    G103&lt;&gt;"",G103,
    H103&lt;&gt;"",EDATE(H103,-0.25*L103),
    N103&lt;&gt;"",EDATE(N103,-0.25*L103),
    TRUE,""
)</f>
        <v/>
      </c>
      <c r="N103" s="45" t="str" cm="1">
        <f t="array" ref="N103">_xlfn.IFS(
    H103&lt;&gt;"", H103,
    COUNT(G103,I103)=2, (G103 + (DATEDIF(G103,I103,"d")*0.5)),
    COUNT(G103,J103)=2, (G103 + (DATEDIF(G103,J103,"d")*0.25)),
    COUNT(G103,K103)=2, (G103 + ((DATEDIF(G103,K103,"d")-90)*0.25)),
    COUNT(I103,J103)=2, (I103 -(DATEDIF(I103,J103,"d")*0.5)),
    COUNT(I103,K103)=2, (I103 -((DATEDIF(I103,K103,"d")-90)*0.5)),
    G103&lt;&gt;"", EDATE(G103, + L103*0.25),
    I103&lt;&gt;"", EDATE(I103, - L103*0.25),
    J103&lt;&gt;"", EDATE(J103, - L103*0.75),
    K103&lt;&gt;"", EDATE(K103, -((L103*0.75)+3)),
    TRUE, ""
)</f>
        <v/>
      </c>
      <c r="O103" s="45" t="str" cm="1">
        <f t="array" ref="O103">_xlfn.IFS(
    I103&lt;&gt;"", I103,
    COUNT(H103,J103)=2, (H103 + (DATEDIF(H103,J103,"d")*0.33)),
    COUNT(H103,K103)=2, (H103 + ((DATEDIF(H103,K103,"d")-90)*0.33)),
    COUNT(G103,J103)=2, (G103 +  DATEDIF(G103,J103,"d")*0.5),
    COUNT(G103,K103)=2, (G103 + (DATEDIF(G103,K103,"d")-90)*0.5),
    G103&lt;&gt;"", EDATE(G103, + L103*0.5),
    H103&lt;&gt;"", EDATE(H103, + L103*0.25),
    J103&lt;&gt;"", EDATE(J103, - L103*0.5),
    K103&lt;&gt;"", EDATE(K103, -((L103*0.5)+3)),
    TRUE, ""
)</f>
        <v/>
      </c>
      <c r="P103" s="45" t="str" cm="1">
        <f t="array" ref="P103">_xlfn.IFS(
    J103&lt;&gt;"", J103,
    K103&lt;&gt;"", EDATE(K103, -3),
    G103&lt;&gt;"", EDATE(G103, + L103),
    H103&lt;&gt;"", EDATE(H103, + L103*0.75),
    I103&lt;&gt;"", EDATE(I103, H L103*0.5),
    TRUE, ""
)</f>
        <v/>
      </c>
      <c r="Q103" s="45" t="str" cm="1">
        <f t="array" ref="Q103">_xlfn.IFS(
    K103&lt;&gt;"",K103,
    J103&lt;&gt;"",EDATE(J103,3),
    P103&lt;&gt;"",EDATE(P103,3),
    TRUE,""
)</f>
        <v/>
      </c>
    </row>
    <row r="104" spans="1:17" x14ac:dyDescent="0.3">
      <c r="A104" t="str">
        <f>IF(AND(Projects!A113="", Projects!B113=""), "", IF(Projects!A113="", "Unassigned", Projects!A113))</f>
        <v/>
      </c>
      <c r="B104" t="str">
        <f>IF(Projects!B113&lt;&gt;"",Projects!B113,"")</f>
        <v/>
      </c>
      <c r="C104" t="str">
        <f>IF(AND(Projects!C113="", Projects!B113=""), "", IF(Projects!C113="", "None", Projects!C113))</f>
        <v/>
      </c>
      <c r="D104" t="str">
        <f>IF(AND(Projects!D113="", Projects!B113=""), "", IF(Projects!D113="", "No OpCo", Projects!D113))</f>
        <v/>
      </c>
      <c r="E104" t="str">
        <f>IF(Projects!E113&lt;&gt;"",Projects!E113,"")</f>
        <v/>
      </c>
      <c r="F104" t="str">
        <f>IF(Projects!F113&lt;&gt;"",Projects!F113,"")</f>
        <v/>
      </c>
      <c r="G104" s="45" t="str">
        <f>IF(Projects!G113&lt;&gt;"",Projects!G113,"")</f>
        <v/>
      </c>
      <c r="H104" s="45" t="str">
        <f>IF(Projects!H113&lt;&gt;"",Projects!H113,"")</f>
        <v/>
      </c>
      <c r="I104" s="45" t="str">
        <f>IF(Projects!I113&lt;&gt;"",Projects!I113,"")</f>
        <v/>
      </c>
      <c r="J104" s="45" t="str">
        <f>IF(Projects!J113&lt;&gt;"",Projects!J113,"")</f>
        <v/>
      </c>
      <c r="K104" s="45" t="str">
        <f>IF(Projects!K113&lt;&gt;"",Projects!K113,"")</f>
        <v/>
      </c>
      <c r="L104" t="str">
        <f>IF(AND(Projects!E113&lt;&gt;"", Projects!F113&lt;&gt;""),
INDEX('Duration Table'!$D$7:$H$17,MATCH(Projects!E113,'Duration Table'!$C$7:$C$17,0),MATCH(Projects!F113,'Duration Table'!$D$6:$H$6)),
   ""
)</f>
        <v/>
      </c>
      <c r="M104" s="45" t="str" cm="1">
        <f t="array" ref="M104">_xlfn.IFS(
    G104&lt;&gt;"",G104,
    H104&lt;&gt;"",EDATE(H104,-0.25*L104),
    N104&lt;&gt;"",EDATE(N104,-0.25*L104),
    TRUE,""
)</f>
        <v/>
      </c>
      <c r="N104" s="45" t="str" cm="1">
        <f t="array" ref="N104">_xlfn.IFS(
    H104&lt;&gt;"", H104,
    COUNT(G104,I104)=2, (G104 + (DATEDIF(G104,I104,"d")*0.5)),
    COUNT(G104,J104)=2, (G104 + (DATEDIF(G104,J104,"d")*0.25)),
    COUNT(G104,K104)=2, (G104 + ((DATEDIF(G104,K104,"d")-90)*0.25)),
    COUNT(I104,J104)=2, (I104 -(DATEDIF(I104,J104,"d")*0.5)),
    COUNT(I104,K104)=2, (I104 -((DATEDIF(I104,K104,"d")-90)*0.5)),
    G104&lt;&gt;"", EDATE(G104, + L104*0.25),
    I104&lt;&gt;"", EDATE(I104, - L104*0.25),
    J104&lt;&gt;"", EDATE(J104, - L104*0.75),
    K104&lt;&gt;"", EDATE(K104, -((L104*0.75)+3)),
    TRUE, ""
)</f>
        <v/>
      </c>
      <c r="O104" s="45" t="str" cm="1">
        <f t="array" ref="O104">_xlfn.IFS(
    I104&lt;&gt;"", I104,
    COUNT(H104,J104)=2, (H104 + (DATEDIF(H104,J104,"d")*0.33)),
    COUNT(H104,K104)=2, (H104 + ((DATEDIF(H104,K104,"d")-90)*0.33)),
    COUNT(G104,J104)=2, (G104 +  DATEDIF(G104,J104,"d")*0.5),
    COUNT(G104,K104)=2, (G104 + (DATEDIF(G104,K104,"d")-90)*0.5),
    G104&lt;&gt;"", EDATE(G104, + L104*0.5),
    H104&lt;&gt;"", EDATE(H104, + L104*0.25),
    J104&lt;&gt;"", EDATE(J104, - L104*0.5),
    K104&lt;&gt;"", EDATE(K104, -((L104*0.5)+3)),
    TRUE, ""
)</f>
        <v/>
      </c>
      <c r="P104" s="45" t="str" cm="1">
        <f t="array" ref="P104">_xlfn.IFS(
    J104&lt;&gt;"", J104,
    K104&lt;&gt;"", EDATE(K104, -3),
    G104&lt;&gt;"", EDATE(G104, + L104),
    H104&lt;&gt;"", EDATE(H104, + L104*0.75),
    I104&lt;&gt;"", EDATE(I104, H L104*0.5),
    TRUE, ""
)</f>
        <v/>
      </c>
      <c r="Q104" s="45" t="str" cm="1">
        <f t="array" ref="Q104">_xlfn.IFS(
    K104&lt;&gt;"",K104,
    J104&lt;&gt;"",EDATE(J104,3),
    P104&lt;&gt;"",EDATE(P104,3),
    TRUE,""
)</f>
        <v/>
      </c>
    </row>
    <row r="105" spans="1:17" x14ac:dyDescent="0.3">
      <c r="A105" t="str">
        <f>IF(AND(Projects!A114="", Projects!B114=""), "", IF(Projects!A114="", "Unassigned", Projects!A114))</f>
        <v/>
      </c>
      <c r="B105" t="str">
        <f>IF(Projects!B114&lt;&gt;"",Projects!B114,"")</f>
        <v/>
      </c>
      <c r="C105" t="str">
        <f>IF(AND(Projects!C114="", Projects!B114=""), "", IF(Projects!C114="", "None", Projects!C114))</f>
        <v/>
      </c>
      <c r="D105" t="str">
        <f>IF(AND(Projects!D114="", Projects!B114=""), "", IF(Projects!D114="", "No OpCo", Projects!D114))</f>
        <v/>
      </c>
      <c r="E105" t="str">
        <f>IF(Projects!E114&lt;&gt;"",Projects!E114,"")</f>
        <v/>
      </c>
      <c r="F105" t="str">
        <f>IF(Projects!F114&lt;&gt;"",Projects!F114,"")</f>
        <v/>
      </c>
      <c r="G105" s="45" t="str">
        <f>IF(Projects!G114&lt;&gt;"",Projects!G114,"")</f>
        <v/>
      </c>
      <c r="H105" s="45" t="str">
        <f>IF(Projects!H114&lt;&gt;"",Projects!H114,"")</f>
        <v/>
      </c>
      <c r="I105" s="45" t="str">
        <f>IF(Projects!I114&lt;&gt;"",Projects!I114,"")</f>
        <v/>
      </c>
      <c r="J105" s="45" t="str">
        <f>IF(Projects!J114&lt;&gt;"",Projects!J114,"")</f>
        <v/>
      </c>
      <c r="K105" s="45" t="str">
        <f>IF(Projects!K114&lt;&gt;"",Projects!K114,"")</f>
        <v/>
      </c>
      <c r="L105" t="str">
        <f>IF(AND(Projects!E114&lt;&gt;"", Projects!F114&lt;&gt;""),
INDEX('Duration Table'!$D$7:$H$17,MATCH(Projects!E114,'Duration Table'!$C$7:$C$17,0),MATCH(Projects!F114,'Duration Table'!$D$6:$H$6)),
   ""
)</f>
        <v/>
      </c>
      <c r="M105" s="45" t="str" cm="1">
        <f t="array" ref="M105">_xlfn.IFS(
    G105&lt;&gt;"",G105,
    H105&lt;&gt;"",EDATE(H105,-0.25*L105),
    N105&lt;&gt;"",EDATE(N105,-0.25*L105),
    TRUE,""
)</f>
        <v/>
      </c>
      <c r="N105" s="45" t="str" cm="1">
        <f t="array" ref="N105">_xlfn.IFS(
    H105&lt;&gt;"", H105,
    COUNT(G105,I105)=2, (G105 + (DATEDIF(G105,I105,"d")*0.5)),
    COUNT(G105,J105)=2, (G105 + (DATEDIF(G105,J105,"d")*0.25)),
    COUNT(G105,K105)=2, (G105 + ((DATEDIF(G105,K105,"d")-90)*0.25)),
    COUNT(I105,J105)=2, (I105 -(DATEDIF(I105,J105,"d")*0.5)),
    COUNT(I105,K105)=2, (I105 -((DATEDIF(I105,K105,"d")-90)*0.5)),
    G105&lt;&gt;"", EDATE(G105, + L105*0.25),
    I105&lt;&gt;"", EDATE(I105, - L105*0.25),
    J105&lt;&gt;"", EDATE(J105, - L105*0.75),
    K105&lt;&gt;"", EDATE(K105, -((L105*0.75)+3)),
    TRUE, ""
)</f>
        <v/>
      </c>
      <c r="O105" s="45" t="str" cm="1">
        <f t="array" ref="O105">_xlfn.IFS(
    I105&lt;&gt;"", I105,
    COUNT(H105,J105)=2, (H105 + (DATEDIF(H105,J105,"d")*0.33)),
    COUNT(H105,K105)=2, (H105 + ((DATEDIF(H105,K105,"d")-90)*0.33)),
    COUNT(G105,J105)=2, (G105 +  DATEDIF(G105,J105,"d")*0.5),
    COUNT(G105,K105)=2, (G105 + (DATEDIF(G105,K105,"d")-90)*0.5),
    G105&lt;&gt;"", EDATE(G105, + L105*0.5),
    H105&lt;&gt;"", EDATE(H105, + L105*0.25),
    J105&lt;&gt;"", EDATE(J105, - L105*0.5),
    K105&lt;&gt;"", EDATE(K105, -((L105*0.5)+3)),
    TRUE, ""
)</f>
        <v/>
      </c>
      <c r="P105" s="45" t="str" cm="1">
        <f t="array" ref="P105">_xlfn.IFS(
    J105&lt;&gt;"", J105,
    K105&lt;&gt;"", EDATE(K105, -3),
    G105&lt;&gt;"", EDATE(G105, + L105),
    H105&lt;&gt;"", EDATE(H105, + L105*0.75),
    I105&lt;&gt;"", EDATE(I105, H L105*0.5),
    TRUE, ""
)</f>
        <v/>
      </c>
      <c r="Q105" s="45" t="str" cm="1">
        <f t="array" ref="Q105">_xlfn.IFS(
    K105&lt;&gt;"",K105,
    J105&lt;&gt;"",EDATE(J105,3),
    P105&lt;&gt;"",EDATE(P105,3),
    TRUE,""
)</f>
        <v/>
      </c>
    </row>
    <row r="106" spans="1:17" x14ac:dyDescent="0.3">
      <c r="A106" t="str">
        <f>IF(AND(Projects!A115="", Projects!B115=""), "", IF(Projects!A115="", "Unassigned", Projects!A115))</f>
        <v/>
      </c>
      <c r="B106" t="str">
        <f>IF(Projects!B115&lt;&gt;"",Projects!B115,"")</f>
        <v/>
      </c>
      <c r="C106" t="str">
        <f>IF(AND(Projects!C115="", Projects!B115=""), "", IF(Projects!C115="", "None", Projects!C115))</f>
        <v/>
      </c>
      <c r="D106" t="str">
        <f>IF(AND(Projects!D115="", Projects!B115=""), "", IF(Projects!D115="", "No OpCo", Projects!D115))</f>
        <v/>
      </c>
      <c r="E106" t="str">
        <f>IF(Projects!E115&lt;&gt;"",Projects!E115,"")</f>
        <v/>
      </c>
      <c r="F106" t="str">
        <f>IF(Projects!F115&lt;&gt;"",Projects!F115,"")</f>
        <v/>
      </c>
      <c r="G106" s="45" t="str">
        <f>IF(Projects!G115&lt;&gt;"",Projects!G115,"")</f>
        <v/>
      </c>
      <c r="H106" s="45" t="str">
        <f>IF(Projects!H115&lt;&gt;"",Projects!H115,"")</f>
        <v/>
      </c>
      <c r="I106" s="45" t="str">
        <f>IF(Projects!I115&lt;&gt;"",Projects!I115,"")</f>
        <v/>
      </c>
      <c r="J106" s="45" t="str">
        <f>IF(Projects!J115&lt;&gt;"",Projects!J115,"")</f>
        <v/>
      </c>
      <c r="K106" s="45" t="str">
        <f>IF(Projects!K115&lt;&gt;"",Projects!K115,"")</f>
        <v/>
      </c>
      <c r="L106" t="str">
        <f>IF(AND(Projects!E115&lt;&gt;"", Projects!F115&lt;&gt;""),
INDEX('Duration Table'!$D$7:$H$17,MATCH(Projects!E115,'Duration Table'!$C$7:$C$17,0),MATCH(Projects!F115,'Duration Table'!$D$6:$H$6)),
   ""
)</f>
        <v/>
      </c>
      <c r="M106" s="45" t="str" cm="1">
        <f t="array" ref="M106">_xlfn.IFS(
    G106&lt;&gt;"",G106,
    H106&lt;&gt;"",EDATE(H106,-0.25*L106),
    N106&lt;&gt;"",EDATE(N106,-0.25*L106),
    TRUE,""
)</f>
        <v/>
      </c>
      <c r="N106" s="45" t="str" cm="1">
        <f t="array" ref="N106">_xlfn.IFS(
    H106&lt;&gt;"", H106,
    COUNT(G106,I106)=2, (G106 + (DATEDIF(G106,I106,"d")*0.5)),
    COUNT(G106,J106)=2, (G106 + (DATEDIF(G106,J106,"d")*0.25)),
    COUNT(G106,K106)=2, (G106 + ((DATEDIF(G106,K106,"d")-90)*0.25)),
    COUNT(I106,J106)=2, (I106 -(DATEDIF(I106,J106,"d")*0.5)),
    COUNT(I106,K106)=2, (I106 -((DATEDIF(I106,K106,"d")-90)*0.5)),
    G106&lt;&gt;"", EDATE(G106, + L106*0.25),
    I106&lt;&gt;"", EDATE(I106, - L106*0.25),
    J106&lt;&gt;"", EDATE(J106, - L106*0.75),
    K106&lt;&gt;"", EDATE(K106, -((L106*0.75)+3)),
    TRUE, ""
)</f>
        <v/>
      </c>
      <c r="O106" s="45" t="str" cm="1">
        <f t="array" ref="O106">_xlfn.IFS(
    I106&lt;&gt;"", I106,
    COUNT(H106,J106)=2, (H106 + (DATEDIF(H106,J106,"d")*0.33)),
    COUNT(H106,K106)=2, (H106 + ((DATEDIF(H106,K106,"d")-90)*0.33)),
    COUNT(G106,J106)=2, (G106 +  DATEDIF(G106,J106,"d")*0.5),
    COUNT(G106,K106)=2, (G106 + (DATEDIF(G106,K106,"d")-90)*0.5),
    G106&lt;&gt;"", EDATE(G106, + L106*0.5),
    H106&lt;&gt;"", EDATE(H106, + L106*0.25),
    J106&lt;&gt;"", EDATE(J106, - L106*0.5),
    K106&lt;&gt;"", EDATE(K106, -((L106*0.5)+3)),
    TRUE, ""
)</f>
        <v/>
      </c>
      <c r="P106" s="45" t="str" cm="1">
        <f t="array" ref="P106">_xlfn.IFS(
    J106&lt;&gt;"", J106,
    K106&lt;&gt;"", EDATE(K106, -3),
    G106&lt;&gt;"", EDATE(G106, + L106),
    H106&lt;&gt;"", EDATE(H106, + L106*0.75),
    I106&lt;&gt;"", EDATE(I106, H L106*0.5),
    TRUE, ""
)</f>
        <v/>
      </c>
      <c r="Q106" s="45" t="str" cm="1">
        <f t="array" ref="Q106">_xlfn.IFS(
    K106&lt;&gt;"",K106,
    J106&lt;&gt;"",EDATE(J106,3),
    P106&lt;&gt;"",EDATE(P106,3),
    TRUE,""
)</f>
        <v/>
      </c>
    </row>
    <row r="107" spans="1:17" x14ac:dyDescent="0.3">
      <c r="A107" t="str">
        <f>IF(AND(Projects!A116="", Projects!B116=""), "", IF(Projects!A116="", "Unassigned", Projects!A116))</f>
        <v/>
      </c>
      <c r="B107" t="str">
        <f>IF(Projects!B116&lt;&gt;"",Projects!B116,"")</f>
        <v/>
      </c>
      <c r="C107" t="str">
        <f>IF(AND(Projects!C116="", Projects!B116=""), "", IF(Projects!C116="", "None", Projects!C116))</f>
        <v/>
      </c>
      <c r="D107" t="str">
        <f>IF(AND(Projects!D116="", Projects!B116=""), "", IF(Projects!D116="", "No OpCo", Projects!D116))</f>
        <v/>
      </c>
      <c r="E107" t="str">
        <f>IF(Projects!E116&lt;&gt;"",Projects!E116,"")</f>
        <v/>
      </c>
      <c r="F107" t="str">
        <f>IF(Projects!F116&lt;&gt;"",Projects!F116,"")</f>
        <v/>
      </c>
      <c r="G107" s="45" t="str">
        <f>IF(Projects!G116&lt;&gt;"",Projects!G116,"")</f>
        <v/>
      </c>
      <c r="H107" s="45" t="str">
        <f>IF(Projects!H116&lt;&gt;"",Projects!H116,"")</f>
        <v/>
      </c>
      <c r="I107" s="45" t="str">
        <f>IF(Projects!I116&lt;&gt;"",Projects!I116,"")</f>
        <v/>
      </c>
      <c r="J107" s="45" t="str">
        <f>IF(Projects!J116&lt;&gt;"",Projects!J116,"")</f>
        <v/>
      </c>
      <c r="K107" s="45" t="str">
        <f>IF(Projects!K116&lt;&gt;"",Projects!K116,"")</f>
        <v/>
      </c>
      <c r="L107" t="str">
        <f>IF(AND(Projects!E116&lt;&gt;"", Projects!F116&lt;&gt;""),
INDEX('Duration Table'!$D$7:$H$17,MATCH(Projects!E116,'Duration Table'!$C$7:$C$17,0),MATCH(Projects!F116,'Duration Table'!$D$6:$H$6)),
   ""
)</f>
        <v/>
      </c>
      <c r="M107" s="45" t="str" cm="1">
        <f t="array" ref="M107">_xlfn.IFS(
    G107&lt;&gt;"",G107,
    H107&lt;&gt;"",EDATE(H107,-0.25*L107),
    N107&lt;&gt;"",EDATE(N107,-0.25*L107),
    TRUE,""
)</f>
        <v/>
      </c>
      <c r="N107" s="45" t="str" cm="1">
        <f t="array" ref="N107">_xlfn.IFS(
    H107&lt;&gt;"", H107,
    COUNT(G107,I107)=2, (G107 + (DATEDIF(G107,I107,"d")*0.5)),
    COUNT(G107,J107)=2, (G107 + (DATEDIF(G107,J107,"d")*0.25)),
    COUNT(G107,K107)=2, (G107 + ((DATEDIF(G107,K107,"d")-90)*0.25)),
    COUNT(I107,J107)=2, (I107 -(DATEDIF(I107,J107,"d")*0.5)),
    COUNT(I107,K107)=2, (I107 -((DATEDIF(I107,K107,"d")-90)*0.5)),
    G107&lt;&gt;"", EDATE(G107, + L107*0.25),
    I107&lt;&gt;"", EDATE(I107, - L107*0.25),
    J107&lt;&gt;"", EDATE(J107, - L107*0.75),
    K107&lt;&gt;"", EDATE(K107, -((L107*0.75)+3)),
    TRUE, ""
)</f>
        <v/>
      </c>
      <c r="O107" s="45" t="str" cm="1">
        <f t="array" ref="O107">_xlfn.IFS(
    I107&lt;&gt;"", I107,
    COUNT(H107,J107)=2, (H107 + (DATEDIF(H107,J107,"d")*0.33)),
    COUNT(H107,K107)=2, (H107 + ((DATEDIF(H107,K107,"d")-90)*0.33)),
    COUNT(G107,J107)=2, (G107 +  DATEDIF(G107,J107,"d")*0.5),
    COUNT(G107,K107)=2, (G107 + (DATEDIF(G107,K107,"d")-90)*0.5),
    G107&lt;&gt;"", EDATE(G107, + L107*0.5),
    H107&lt;&gt;"", EDATE(H107, + L107*0.25),
    J107&lt;&gt;"", EDATE(J107, - L107*0.5),
    K107&lt;&gt;"", EDATE(K107, -((L107*0.5)+3)),
    TRUE, ""
)</f>
        <v/>
      </c>
      <c r="P107" s="45" t="str" cm="1">
        <f t="array" ref="P107">_xlfn.IFS(
    J107&lt;&gt;"", J107,
    K107&lt;&gt;"", EDATE(K107, -3),
    G107&lt;&gt;"", EDATE(G107, + L107),
    H107&lt;&gt;"", EDATE(H107, + L107*0.75),
    I107&lt;&gt;"", EDATE(I107, H L107*0.5),
    TRUE, ""
)</f>
        <v/>
      </c>
      <c r="Q107" s="45" t="str" cm="1">
        <f t="array" ref="Q107">_xlfn.IFS(
    K107&lt;&gt;"",K107,
    J107&lt;&gt;"",EDATE(J107,3),
    P107&lt;&gt;"",EDATE(P107,3),
    TRUE,""
)</f>
        <v/>
      </c>
    </row>
    <row r="108" spans="1:17" x14ac:dyDescent="0.3">
      <c r="A108" t="str">
        <f>IF(AND(Projects!A117="", Projects!B117=""), "", IF(Projects!A117="", "Unassigned", Projects!A117))</f>
        <v/>
      </c>
      <c r="B108" t="str">
        <f>IF(Projects!B117&lt;&gt;"",Projects!B117,"")</f>
        <v/>
      </c>
      <c r="C108" t="str">
        <f>IF(AND(Projects!C117="", Projects!B117=""), "", IF(Projects!C117="", "None", Projects!C117))</f>
        <v/>
      </c>
      <c r="D108" t="str">
        <f>IF(AND(Projects!D117="", Projects!B117=""), "", IF(Projects!D117="", "No OpCo", Projects!D117))</f>
        <v/>
      </c>
      <c r="E108" t="str">
        <f>IF(Projects!E117&lt;&gt;"",Projects!E117,"")</f>
        <v/>
      </c>
      <c r="F108" t="str">
        <f>IF(Projects!F117&lt;&gt;"",Projects!F117,"")</f>
        <v/>
      </c>
      <c r="G108" s="45" t="str">
        <f>IF(Projects!G117&lt;&gt;"",Projects!G117,"")</f>
        <v/>
      </c>
      <c r="H108" s="45" t="str">
        <f>IF(Projects!H117&lt;&gt;"",Projects!H117,"")</f>
        <v/>
      </c>
      <c r="I108" s="45" t="str">
        <f>IF(Projects!I117&lt;&gt;"",Projects!I117,"")</f>
        <v/>
      </c>
      <c r="J108" s="45" t="str">
        <f>IF(Projects!J117&lt;&gt;"",Projects!J117,"")</f>
        <v/>
      </c>
      <c r="K108" s="45" t="str">
        <f>IF(Projects!K117&lt;&gt;"",Projects!K117,"")</f>
        <v/>
      </c>
      <c r="L108" t="str">
        <f>IF(AND(Projects!E117&lt;&gt;"", Projects!F117&lt;&gt;""),
INDEX('Duration Table'!$D$7:$H$17,MATCH(Projects!E117,'Duration Table'!$C$7:$C$17,0),MATCH(Projects!F117,'Duration Table'!$D$6:$H$6)),
   ""
)</f>
        <v/>
      </c>
      <c r="M108" s="45" t="str" cm="1">
        <f t="array" ref="M108">_xlfn.IFS(
    G108&lt;&gt;"",G108,
    H108&lt;&gt;"",EDATE(H108,-0.25*L108),
    N108&lt;&gt;"",EDATE(N108,-0.25*L108),
    TRUE,""
)</f>
        <v/>
      </c>
      <c r="N108" s="45" t="str" cm="1">
        <f t="array" ref="N108">_xlfn.IFS(
    H108&lt;&gt;"", H108,
    COUNT(G108,I108)=2, (G108 + (DATEDIF(G108,I108,"d")*0.5)),
    COUNT(G108,J108)=2, (G108 + (DATEDIF(G108,J108,"d")*0.25)),
    COUNT(G108,K108)=2, (G108 + ((DATEDIF(G108,K108,"d")-90)*0.25)),
    COUNT(I108,J108)=2, (I108 -(DATEDIF(I108,J108,"d")*0.5)),
    COUNT(I108,K108)=2, (I108 -((DATEDIF(I108,K108,"d")-90)*0.5)),
    G108&lt;&gt;"", EDATE(G108, + L108*0.25),
    I108&lt;&gt;"", EDATE(I108, - L108*0.25),
    J108&lt;&gt;"", EDATE(J108, - L108*0.75),
    K108&lt;&gt;"", EDATE(K108, -((L108*0.75)+3)),
    TRUE, ""
)</f>
        <v/>
      </c>
      <c r="O108" s="45" t="str" cm="1">
        <f t="array" ref="O108">_xlfn.IFS(
    I108&lt;&gt;"", I108,
    COUNT(H108,J108)=2, (H108 + (DATEDIF(H108,J108,"d")*0.33)),
    COUNT(H108,K108)=2, (H108 + ((DATEDIF(H108,K108,"d")-90)*0.33)),
    COUNT(G108,J108)=2, (G108 +  DATEDIF(G108,J108,"d")*0.5),
    COUNT(G108,K108)=2, (G108 + (DATEDIF(G108,K108,"d")-90)*0.5),
    G108&lt;&gt;"", EDATE(G108, + L108*0.5),
    H108&lt;&gt;"", EDATE(H108, + L108*0.25),
    J108&lt;&gt;"", EDATE(J108, - L108*0.5),
    K108&lt;&gt;"", EDATE(K108, -((L108*0.5)+3)),
    TRUE, ""
)</f>
        <v/>
      </c>
      <c r="P108" s="45" t="str" cm="1">
        <f t="array" ref="P108">_xlfn.IFS(
    J108&lt;&gt;"", J108,
    K108&lt;&gt;"", EDATE(K108, -3),
    G108&lt;&gt;"", EDATE(G108, + L108),
    H108&lt;&gt;"", EDATE(H108, + L108*0.75),
    I108&lt;&gt;"", EDATE(I108, H L108*0.5),
    TRUE, ""
)</f>
        <v/>
      </c>
      <c r="Q108" s="45" t="str" cm="1">
        <f t="array" ref="Q108">_xlfn.IFS(
    K108&lt;&gt;"",K108,
    J108&lt;&gt;"",EDATE(J108,3),
    P108&lt;&gt;"",EDATE(P108,3),
    TRUE,""
)</f>
        <v/>
      </c>
    </row>
    <row r="109" spans="1:17" x14ac:dyDescent="0.3">
      <c r="A109" t="str">
        <f>IF(AND(Projects!A118="", Projects!B118=""), "", IF(Projects!A118="", "Unassigned", Projects!A118))</f>
        <v/>
      </c>
      <c r="B109" t="str">
        <f>IF(Projects!B118&lt;&gt;"",Projects!B118,"")</f>
        <v/>
      </c>
      <c r="C109" t="str">
        <f>IF(AND(Projects!C118="", Projects!B118=""), "", IF(Projects!C118="", "None", Projects!C118))</f>
        <v/>
      </c>
      <c r="D109" t="str">
        <f>IF(AND(Projects!D118="", Projects!B118=""), "", IF(Projects!D118="", "No OpCo", Projects!D118))</f>
        <v/>
      </c>
      <c r="E109" t="str">
        <f>IF(Projects!E118&lt;&gt;"",Projects!E118,"")</f>
        <v/>
      </c>
      <c r="F109" t="str">
        <f>IF(Projects!F118&lt;&gt;"",Projects!F118,"")</f>
        <v/>
      </c>
      <c r="G109" s="45" t="str">
        <f>IF(Projects!G118&lt;&gt;"",Projects!G118,"")</f>
        <v/>
      </c>
      <c r="H109" s="45" t="str">
        <f>IF(Projects!H118&lt;&gt;"",Projects!H118,"")</f>
        <v/>
      </c>
      <c r="I109" s="45" t="str">
        <f>IF(Projects!I118&lt;&gt;"",Projects!I118,"")</f>
        <v/>
      </c>
      <c r="J109" s="45" t="str">
        <f>IF(Projects!J118&lt;&gt;"",Projects!J118,"")</f>
        <v/>
      </c>
      <c r="K109" s="45" t="str">
        <f>IF(Projects!K118&lt;&gt;"",Projects!K118,"")</f>
        <v/>
      </c>
      <c r="L109" t="str">
        <f>IF(AND(Projects!E118&lt;&gt;"", Projects!F118&lt;&gt;""),
INDEX('Duration Table'!$D$7:$H$17,MATCH(Projects!E118,'Duration Table'!$C$7:$C$17,0),MATCH(Projects!F118,'Duration Table'!$D$6:$H$6)),
   ""
)</f>
        <v/>
      </c>
      <c r="M109" s="45" t="str" cm="1">
        <f t="array" ref="M109">_xlfn.IFS(
    G109&lt;&gt;"",G109,
    H109&lt;&gt;"",EDATE(H109,-0.25*L109),
    N109&lt;&gt;"",EDATE(N109,-0.25*L109),
    TRUE,""
)</f>
        <v/>
      </c>
      <c r="N109" s="45" t="str" cm="1">
        <f t="array" ref="N109">_xlfn.IFS(
    H109&lt;&gt;"", H109,
    COUNT(G109,I109)=2, (G109 + (DATEDIF(G109,I109,"d")*0.5)),
    COUNT(G109,J109)=2, (G109 + (DATEDIF(G109,J109,"d")*0.25)),
    COUNT(G109,K109)=2, (G109 + ((DATEDIF(G109,K109,"d")-90)*0.25)),
    COUNT(I109,J109)=2, (I109 -(DATEDIF(I109,J109,"d")*0.5)),
    COUNT(I109,K109)=2, (I109 -((DATEDIF(I109,K109,"d")-90)*0.5)),
    G109&lt;&gt;"", EDATE(G109, + L109*0.25),
    I109&lt;&gt;"", EDATE(I109, - L109*0.25),
    J109&lt;&gt;"", EDATE(J109, - L109*0.75),
    K109&lt;&gt;"", EDATE(K109, -((L109*0.75)+3)),
    TRUE, ""
)</f>
        <v/>
      </c>
      <c r="O109" s="45" t="str" cm="1">
        <f t="array" ref="O109">_xlfn.IFS(
    I109&lt;&gt;"", I109,
    COUNT(H109,J109)=2, (H109 + (DATEDIF(H109,J109,"d")*0.33)),
    COUNT(H109,K109)=2, (H109 + ((DATEDIF(H109,K109,"d")-90)*0.33)),
    COUNT(G109,J109)=2, (G109 +  DATEDIF(G109,J109,"d")*0.5),
    COUNT(G109,K109)=2, (G109 + (DATEDIF(G109,K109,"d")-90)*0.5),
    G109&lt;&gt;"", EDATE(G109, + L109*0.5),
    H109&lt;&gt;"", EDATE(H109, + L109*0.25),
    J109&lt;&gt;"", EDATE(J109, - L109*0.5),
    K109&lt;&gt;"", EDATE(K109, -((L109*0.5)+3)),
    TRUE, ""
)</f>
        <v/>
      </c>
      <c r="P109" s="45" t="str" cm="1">
        <f t="array" ref="P109">_xlfn.IFS(
    J109&lt;&gt;"", J109,
    K109&lt;&gt;"", EDATE(K109, -3),
    G109&lt;&gt;"", EDATE(G109, + L109),
    H109&lt;&gt;"", EDATE(H109, + L109*0.75),
    I109&lt;&gt;"", EDATE(I109, H L109*0.5),
    TRUE, ""
)</f>
        <v/>
      </c>
      <c r="Q109" s="45" t="str" cm="1">
        <f t="array" ref="Q109">_xlfn.IFS(
    K109&lt;&gt;"",K109,
    J109&lt;&gt;"",EDATE(J109,3),
    P109&lt;&gt;"",EDATE(P109,3),
    TRUE,""
)</f>
        <v/>
      </c>
    </row>
    <row r="110" spans="1:17" x14ac:dyDescent="0.3">
      <c r="A110" t="str">
        <f>IF(AND(Projects!A119="", Projects!B119=""), "", IF(Projects!A119="", "Unassigned", Projects!A119))</f>
        <v/>
      </c>
      <c r="B110" t="str">
        <f>IF(Projects!B119&lt;&gt;"",Projects!B119,"")</f>
        <v/>
      </c>
      <c r="C110" t="str">
        <f>IF(AND(Projects!C119="", Projects!B119=""), "", IF(Projects!C119="", "None", Projects!C119))</f>
        <v/>
      </c>
      <c r="D110" t="str">
        <f>IF(AND(Projects!D119="", Projects!B119=""), "", IF(Projects!D119="", "No OpCo", Projects!D119))</f>
        <v/>
      </c>
      <c r="E110" t="str">
        <f>IF(Projects!E119&lt;&gt;"",Projects!E119,"")</f>
        <v/>
      </c>
      <c r="F110" t="str">
        <f>IF(Projects!F119&lt;&gt;"",Projects!F119,"")</f>
        <v/>
      </c>
      <c r="G110" s="45" t="str">
        <f>IF(Projects!G119&lt;&gt;"",Projects!G119,"")</f>
        <v/>
      </c>
      <c r="H110" s="45" t="str">
        <f>IF(Projects!H119&lt;&gt;"",Projects!H119,"")</f>
        <v/>
      </c>
      <c r="I110" s="45" t="str">
        <f>IF(Projects!I119&lt;&gt;"",Projects!I119,"")</f>
        <v/>
      </c>
      <c r="J110" s="45" t="str">
        <f>IF(Projects!J119&lt;&gt;"",Projects!J119,"")</f>
        <v/>
      </c>
      <c r="K110" s="45" t="str">
        <f>IF(Projects!K119&lt;&gt;"",Projects!K119,"")</f>
        <v/>
      </c>
      <c r="L110" t="str">
        <f>IF(AND(Projects!E119&lt;&gt;"", Projects!F119&lt;&gt;""),
INDEX('Duration Table'!$D$7:$H$17,MATCH(Projects!E119,'Duration Table'!$C$7:$C$17,0),MATCH(Projects!F119,'Duration Table'!$D$6:$H$6)),
   ""
)</f>
        <v/>
      </c>
      <c r="M110" s="45" t="str" cm="1">
        <f t="array" ref="M110">_xlfn.IFS(
    G110&lt;&gt;"",G110,
    H110&lt;&gt;"",EDATE(H110,-0.25*L110),
    N110&lt;&gt;"",EDATE(N110,-0.25*L110),
    TRUE,""
)</f>
        <v/>
      </c>
      <c r="N110" s="45" t="str" cm="1">
        <f t="array" ref="N110">_xlfn.IFS(
    H110&lt;&gt;"", H110,
    COUNT(G110,I110)=2, (G110 + (DATEDIF(G110,I110,"d")*0.5)),
    COUNT(G110,J110)=2, (G110 + (DATEDIF(G110,J110,"d")*0.25)),
    COUNT(G110,K110)=2, (G110 + ((DATEDIF(G110,K110,"d")-90)*0.25)),
    COUNT(I110,J110)=2, (I110 -(DATEDIF(I110,J110,"d")*0.5)),
    COUNT(I110,K110)=2, (I110 -((DATEDIF(I110,K110,"d")-90)*0.5)),
    G110&lt;&gt;"", EDATE(G110, + L110*0.25),
    I110&lt;&gt;"", EDATE(I110, - L110*0.25),
    J110&lt;&gt;"", EDATE(J110, - L110*0.75),
    K110&lt;&gt;"", EDATE(K110, -((L110*0.75)+3)),
    TRUE, ""
)</f>
        <v/>
      </c>
      <c r="O110" s="45" t="str" cm="1">
        <f t="array" ref="O110">_xlfn.IFS(
    I110&lt;&gt;"", I110,
    COUNT(H110,J110)=2, (H110 + (DATEDIF(H110,J110,"d")*0.33)),
    COUNT(H110,K110)=2, (H110 + ((DATEDIF(H110,K110,"d")-90)*0.33)),
    COUNT(G110,J110)=2, (G110 +  DATEDIF(G110,J110,"d")*0.5),
    COUNT(G110,K110)=2, (G110 + (DATEDIF(G110,K110,"d")-90)*0.5),
    G110&lt;&gt;"", EDATE(G110, + L110*0.5),
    H110&lt;&gt;"", EDATE(H110, + L110*0.25),
    J110&lt;&gt;"", EDATE(J110, - L110*0.5),
    K110&lt;&gt;"", EDATE(K110, -((L110*0.5)+3)),
    TRUE, ""
)</f>
        <v/>
      </c>
      <c r="P110" s="45" t="str" cm="1">
        <f t="array" ref="P110">_xlfn.IFS(
    J110&lt;&gt;"", J110,
    K110&lt;&gt;"", EDATE(K110, -3),
    G110&lt;&gt;"", EDATE(G110, + L110),
    H110&lt;&gt;"", EDATE(H110, + L110*0.75),
    I110&lt;&gt;"", EDATE(I110, H L110*0.5),
    TRUE, ""
)</f>
        <v/>
      </c>
      <c r="Q110" s="45" t="str" cm="1">
        <f t="array" ref="Q110">_xlfn.IFS(
    K110&lt;&gt;"",K110,
    J110&lt;&gt;"",EDATE(J110,3),
    P110&lt;&gt;"",EDATE(P110,3),
    TRUE,""
)</f>
        <v/>
      </c>
    </row>
    <row r="111" spans="1:17" x14ac:dyDescent="0.3">
      <c r="A111" t="str">
        <f>IF(AND(Projects!A120="", Projects!B120=""), "", IF(Projects!A120="", "Unassigned", Projects!A120))</f>
        <v/>
      </c>
      <c r="B111" t="str">
        <f>IF(Projects!B120&lt;&gt;"",Projects!B120,"")</f>
        <v/>
      </c>
      <c r="C111" t="str">
        <f>IF(AND(Projects!C120="", Projects!B120=""), "", IF(Projects!C120="", "None", Projects!C120))</f>
        <v/>
      </c>
      <c r="D111" t="str">
        <f>IF(AND(Projects!D120="", Projects!B120=""), "", IF(Projects!D120="", "No OpCo", Projects!D120))</f>
        <v/>
      </c>
      <c r="E111" t="str">
        <f>IF(Projects!E120&lt;&gt;"",Projects!E120,"")</f>
        <v/>
      </c>
      <c r="F111" t="str">
        <f>IF(Projects!F120&lt;&gt;"",Projects!F120,"")</f>
        <v/>
      </c>
      <c r="G111" s="45" t="str">
        <f>IF(Projects!G120&lt;&gt;"",Projects!G120,"")</f>
        <v/>
      </c>
      <c r="H111" s="45" t="str">
        <f>IF(Projects!H120&lt;&gt;"",Projects!H120,"")</f>
        <v/>
      </c>
      <c r="I111" s="45" t="str">
        <f>IF(Projects!I120&lt;&gt;"",Projects!I120,"")</f>
        <v/>
      </c>
      <c r="J111" s="45" t="str">
        <f>IF(Projects!J120&lt;&gt;"",Projects!J120,"")</f>
        <v/>
      </c>
      <c r="K111" s="45" t="str">
        <f>IF(Projects!K120&lt;&gt;"",Projects!K120,"")</f>
        <v/>
      </c>
      <c r="L111" t="str">
        <f>IF(AND(Projects!E120&lt;&gt;"", Projects!F120&lt;&gt;""),
INDEX('Duration Table'!$D$7:$H$17,MATCH(Projects!E120,'Duration Table'!$C$7:$C$17,0),MATCH(Projects!F120,'Duration Table'!$D$6:$H$6)),
   ""
)</f>
        <v/>
      </c>
      <c r="M111" s="45" t="str" cm="1">
        <f t="array" ref="M111">_xlfn.IFS(
    G111&lt;&gt;"",G111,
    H111&lt;&gt;"",EDATE(H111,-0.25*L111),
    N111&lt;&gt;"",EDATE(N111,-0.25*L111),
    TRUE,""
)</f>
        <v/>
      </c>
      <c r="N111" s="45" t="str" cm="1">
        <f t="array" ref="N111">_xlfn.IFS(
    H111&lt;&gt;"", H111,
    COUNT(G111,I111)=2, (G111 + (DATEDIF(G111,I111,"d")*0.5)),
    COUNT(G111,J111)=2, (G111 + (DATEDIF(G111,J111,"d")*0.25)),
    COUNT(G111,K111)=2, (G111 + ((DATEDIF(G111,K111,"d")-90)*0.25)),
    COUNT(I111,J111)=2, (I111 -(DATEDIF(I111,J111,"d")*0.5)),
    COUNT(I111,K111)=2, (I111 -((DATEDIF(I111,K111,"d")-90)*0.5)),
    G111&lt;&gt;"", EDATE(G111, + L111*0.25),
    I111&lt;&gt;"", EDATE(I111, - L111*0.25),
    J111&lt;&gt;"", EDATE(J111, - L111*0.75),
    K111&lt;&gt;"", EDATE(K111, -((L111*0.75)+3)),
    TRUE, ""
)</f>
        <v/>
      </c>
      <c r="O111" s="45" t="str" cm="1">
        <f t="array" ref="O111">_xlfn.IFS(
    I111&lt;&gt;"", I111,
    COUNT(H111,J111)=2, (H111 + (DATEDIF(H111,J111,"d")*0.33)),
    COUNT(H111,K111)=2, (H111 + ((DATEDIF(H111,K111,"d")-90)*0.33)),
    COUNT(G111,J111)=2, (G111 +  DATEDIF(G111,J111,"d")*0.5),
    COUNT(G111,K111)=2, (G111 + (DATEDIF(G111,K111,"d")-90)*0.5),
    G111&lt;&gt;"", EDATE(G111, + L111*0.5),
    H111&lt;&gt;"", EDATE(H111, + L111*0.25),
    J111&lt;&gt;"", EDATE(J111, - L111*0.5),
    K111&lt;&gt;"", EDATE(K111, -((L111*0.5)+3)),
    TRUE, ""
)</f>
        <v/>
      </c>
      <c r="P111" s="45" t="str" cm="1">
        <f t="array" ref="P111">_xlfn.IFS(
    J111&lt;&gt;"", J111,
    K111&lt;&gt;"", EDATE(K111, -3),
    G111&lt;&gt;"", EDATE(G111, + L111),
    H111&lt;&gt;"", EDATE(H111, + L111*0.75),
    I111&lt;&gt;"", EDATE(I111, H L111*0.5),
    TRUE, ""
)</f>
        <v/>
      </c>
      <c r="Q111" s="45" t="str" cm="1">
        <f t="array" ref="Q111">_xlfn.IFS(
    K111&lt;&gt;"",K111,
    J111&lt;&gt;"",EDATE(J111,3),
    P111&lt;&gt;"",EDATE(P111,3),
    TRUE,""
)</f>
        <v/>
      </c>
    </row>
    <row r="112" spans="1:17" x14ac:dyDescent="0.3">
      <c r="A112" t="str">
        <f>IF(AND(Projects!A121="", Projects!B121=""), "", IF(Projects!A121="", "Unassigned", Projects!A121))</f>
        <v/>
      </c>
      <c r="B112" t="str">
        <f>IF(Projects!B121&lt;&gt;"",Projects!B121,"")</f>
        <v/>
      </c>
      <c r="C112" t="str">
        <f>IF(AND(Projects!C121="", Projects!B121=""), "", IF(Projects!C121="", "None", Projects!C121))</f>
        <v/>
      </c>
      <c r="D112" t="str">
        <f>IF(AND(Projects!D121="", Projects!B121=""), "", IF(Projects!D121="", "No OpCo", Projects!D121))</f>
        <v/>
      </c>
      <c r="E112" t="str">
        <f>IF(Projects!E121&lt;&gt;"",Projects!E121,"")</f>
        <v/>
      </c>
      <c r="F112" t="str">
        <f>IF(Projects!F121&lt;&gt;"",Projects!F121,"")</f>
        <v/>
      </c>
      <c r="G112" s="45" t="str">
        <f>IF(Projects!G121&lt;&gt;"",Projects!G121,"")</f>
        <v/>
      </c>
      <c r="H112" s="45" t="str">
        <f>IF(Projects!H121&lt;&gt;"",Projects!H121,"")</f>
        <v/>
      </c>
      <c r="I112" s="45" t="str">
        <f>IF(Projects!I121&lt;&gt;"",Projects!I121,"")</f>
        <v/>
      </c>
      <c r="J112" s="45" t="str">
        <f>IF(Projects!J121&lt;&gt;"",Projects!J121,"")</f>
        <v/>
      </c>
      <c r="K112" s="45" t="str">
        <f>IF(Projects!K121&lt;&gt;"",Projects!K121,"")</f>
        <v/>
      </c>
      <c r="L112" t="str">
        <f>IF(AND(Projects!E121&lt;&gt;"", Projects!F121&lt;&gt;""),
INDEX('Duration Table'!$D$7:$H$17,MATCH(Projects!E121,'Duration Table'!$C$7:$C$17,0),MATCH(Projects!F121,'Duration Table'!$D$6:$H$6)),
   ""
)</f>
        <v/>
      </c>
      <c r="M112" s="45" t="str" cm="1">
        <f t="array" ref="M112">_xlfn.IFS(
    G112&lt;&gt;"",G112,
    H112&lt;&gt;"",EDATE(H112,-0.25*L112),
    N112&lt;&gt;"",EDATE(N112,-0.25*L112),
    TRUE,""
)</f>
        <v/>
      </c>
      <c r="N112" s="45" t="str" cm="1">
        <f t="array" ref="N112">_xlfn.IFS(
    H112&lt;&gt;"", H112,
    COUNT(G112,I112)=2, (G112 + (DATEDIF(G112,I112,"d")*0.5)),
    COUNT(G112,J112)=2, (G112 + (DATEDIF(G112,J112,"d")*0.25)),
    COUNT(G112,K112)=2, (G112 + ((DATEDIF(G112,K112,"d")-90)*0.25)),
    COUNT(I112,J112)=2, (I112 -(DATEDIF(I112,J112,"d")*0.5)),
    COUNT(I112,K112)=2, (I112 -((DATEDIF(I112,K112,"d")-90)*0.5)),
    G112&lt;&gt;"", EDATE(G112, + L112*0.25),
    I112&lt;&gt;"", EDATE(I112, - L112*0.25),
    J112&lt;&gt;"", EDATE(J112, - L112*0.75),
    K112&lt;&gt;"", EDATE(K112, -((L112*0.75)+3)),
    TRUE, ""
)</f>
        <v/>
      </c>
      <c r="O112" s="45" t="str" cm="1">
        <f t="array" ref="O112">_xlfn.IFS(
    I112&lt;&gt;"", I112,
    COUNT(H112,J112)=2, (H112 + (DATEDIF(H112,J112,"d")*0.33)),
    COUNT(H112,K112)=2, (H112 + ((DATEDIF(H112,K112,"d")-90)*0.33)),
    COUNT(G112,J112)=2, (G112 +  DATEDIF(G112,J112,"d")*0.5),
    COUNT(G112,K112)=2, (G112 + (DATEDIF(G112,K112,"d")-90)*0.5),
    G112&lt;&gt;"", EDATE(G112, + L112*0.5),
    H112&lt;&gt;"", EDATE(H112, + L112*0.25),
    J112&lt;&gt;"", EDATE(J112, - L112*0.5),
    K112&lt;&gt;"", EDATE(K112, -((L112*0.5)+3)),
    TRUE, ""
)</f>
        <v/>
      </c>
      <c r="P112" s="45" t="str" cm="1">
        <f t="array" ref="P112">_xlfn.IFS(
    J112&lt;&gt;"", J112,
    K112&lt;&gt;"", EDATE(K112, -3),
    G112&lt;&gt;"", EDATE(G112, + L112),
    H112&lt;&gt;"", EDATE(H112, + L112*0.75),
    I112&lt;&gt;"", EDATE(I112, H L112*0.5),
    TRUE, ""
)</f>
        <v/>
      </c>
      <c r="Q112" s="45" t="str" cm="1">
        <f t="array" ref="Q112">_xlfn.IFS(
    K112&lt;&gt;"",K112,
    J112&lt;&gt;"",EDATE(J112,3),
    P112&lt;&gt;"",EDATE(P112,3),
    TRUE,""
)</f>
        <v/>
      </c>
    </row>
    <row r="113" spans="1:17" x14ac:dyDescent="0.3">
      <c r="A113" t="str">
        <f>IF(AND(Projects!A122="", Projects!B122=""), "", IF(Projects!A122="", "Unassigned", Projects!A122))</f>
        <v/>
      </c>
      <c r="B113" t="str">
        <f>IF(Projects!B122&lt;&gt;"",Projects!B122,"")</f>
        <v/>
      </c>
      <c r="C113" t="str">
        <f>IF(AND(Projects!C122="", Projects!B122=""), "", IF(Projects!C122="", "None", Projects!C122))</f>
        <v/>
      </c>
      <c r="D113" t="str">
        <f>IF(AND(Projects!D122="", Projects!B122=""), "", IF(Projects!D122="", "No OpCo", Projects!D122))</f>
        <v/>
      </c>
      <c r="E113" t="str">
        <f>IF(Projects!E122&lt;&gt;"",Projects!E122,"")</f>
        <v/>
      </c>
      <c r="F113" t="str">
        <f>IF(Projects!F122&lt;&gt;"",Projects!F122,"")</f>
        <v/>
      </c>
      <c r="G113" s="45" t="str">
        <f>IF(Projects!G122&lt;&gt;"",Projects!G122,"")</f>
        <v/>
      </c>
      <c r="H113" s="45" t="str">
        <f>IF(Projects!H122&lt;&gt;"",Projects!H122,"")</f>
        <v/>
      </c>
      <c r="I113" s="45" t="str">
        <f>IF(Projects!I122&lt;&gt;"",Projects!I122,"")</f>
        <v/>
      </c>
      <c r="J113" s="45" t="str">
        <f>IF(Projects!J122&lt;&gt;"",Projects!J122,"")</f>
        <v/>
      </c>
      <c r="K113" s="45" t="str">
        <f>IF(Projects!K122&lt;&gt;"",Projects!K122,"")</f>
        <v/>
      </c>
      <c r="L113" t="str">
        <f>IF(AND(Projects!E122&lt;&gt;"", Projects!F122&lt;&gt;""),
INDEX('Duration Table'!$D$7:$H$17,MATCH(Projects!E122,'Duration Table'!$C$7:$C$17,0),MATCH(Projects!F122,'Duration Table'!$D$6:$H$6)),
   ""
)</f>
        <v/>
      </c>
      <c r="M113" s="45" t="str" cm="1">
        <f t="array" ref="M113">_xlfn.IFS(
    G113&lt;&gt;"",G113,
    H113&lt;&gt;"",EDATE(H113,-0.25*L113),
    N113&lt;&gt;"",EDATE(N113,-0.25*L113),
    TRUE,""
)</f>
        <v/>
      </c>
      <c r="N113" s="45" t="str" cm="1">
        <f t="array" ref="N113">_xlfn.IFS(
    H113&lt;&gt;"", H113,
    COUNT(G113,I113)=2, (G113 + (DATEDIF(G113,I113,"d")*0.5)),
    COUNT(G113,J113)=2, (G113 + (DATEDIF(G113,J113,"d")*0.25)),
    COUNT(G113,K113)=2, (G113 + ((DATEDIF(G113,K113,"d")-90)*0.25)),
    COUNT(I113,J113)=2, (I113 -(DATEDIF(I113,J113,"d")*0.5)),
    COUNT(I113,K113)=2, (I113 -((DATEDIF(I113,K113,"d")-90)*0.5)),
    G113&lt;&gt;"", EDATE(G113, + L113*0.25),
    I113&lt;&gt;"", EDATE(I113, - L113*0.25),
    J113&lt;&gt;"", EDATE(J113, - L113*0.75),
    K113&lt;&gt;"", EDATE(K113, -((L113*0.75)+3)),
    TRUE, ""
)</f>
        <v/>
      </c>
      <c r="O113" s="45" t="str" cm="1">
        <f t="array" ref="O113">_xlfn.IFS(
    I113&lt;&gt;"", I113,
    COUNT(H113,J113)=2, (H113 + (DATEDIF(H113,J113,"d")*0.33)),
    COUNT(H113,K113)=2, (H113 + ((DATEDIF(H113,K113,"d")-90)*0.33)),
    COUNT(G113,J113)=2, (G113 +  DATEDIF(G113,J113,"d")*0.5),
    COUNT(G113,K113)=2, (G113 + (DATEDIF(G113,K113,"d")-90)*0.5),
    G113&lt;&gt;"", EDATE(G113, + L113*0.5),
    H113&lt;&gt;"", EDATE(H113, + L113*0.25),
    J113&lt;&gt;"", EDATE(J113, - L113*0.5),
    K113&lt;&gt;"", EDATE(K113, -((L113*0.5)+3)),
    TRUE, ""
)</f>
        <v/>
      </c>
      <c r="P113" s="45" t="str" cm="1">
        <f t="array" ref="P113">_xlfn.IFS(
    J113&lt;&gt;"", J113,
    K113&lt;&gt;"", EDATE(K113, -3),
    G113&lt;&gt;"", EDATE(G113, + L113),
    H113&lt;&gt;"", EDATE(H113, + L113*0.75),
    I113&lt;&gt;"", EDATE(I113, H L113*0.5),
    TRUE, ""
)</f>
        <v/>
      </c>
      <c r="Q113" s="45" t="str" cm="1">
        <f t="array" ref="Q113">_xlfn.IFS(
    K113&lt;&gt;"",K113,
    J113&lt;&gt;"",EDATE(J113,3),
    P113&lt;&gt;"",EDATE(P113,3),
    TRUE,""
)</f>
        <v/>
      </c>
    </row>
    <row r="114" spans="1:17" x14ac:dyDescent="0.3">
      <c r="A114" t="str">
        <f>IF(AND(Projects!A123="", Projects!B123=""), "", IF(Projects!A123="", "Unassigned", Projects!A123))</f>
        <v/>
      </c>
      <c r="B114" t="str">
        <f>IF(Projects!B123&lt;&gt;"",Projects!B123,"")</f>
        <v/>
      </c>
      <c r="C114" t="str">
        <f>IF(AND(Projects!C123="", Projects!B123=""), "", IF(Projects!C123="", "None", Projects!C123))</f>
        <v/>
      </c>
      <c r="D114" t="str">
        <f>IF(AND(Projects!D123="", Projects!B123=""), "", IF(Projects!D123="", "No OpCo", Projects!D123))</f>
        <v/>
      </c>
      <c r="E114" t="str">
        <f>IF(Projects!E123&lt;&gt;"",Projects!E123,"")</f>
        <v/>
      </c>
      <c r="F114" t="str">
        <f>IF(Projects!F123&lt;&gt;"",Projects!F123,"")</f>
        <v/>
      </c>
      <c r="G114" s="45" t="str">
        <f>IF(Projects!G123&lt;&gt;"",Projects!G123,"")</f>
        <v/>
      </c>
      <c r="H114" s="45" t="str">
        <f>IF(Projects!H123&lt;&gt;"",Projects!H123,"")</f>
        <v/>
      </c>
      <c r="I114" s="45" t="str">
        <f>IF(Projects!I123&lt;&gt;"",Projects!I123,"")</f>
        <v/>
      </c>
      <c r="J114" s="45" t="str">
        <f>IF(Projects!J123&lt;&gt;"",Projects!J123,"")</f>
        <v/>
      </c>
      <c r="K114" s="45" t="str">
        <f>IF(Projects!K123&lt;&gt;"",Projects!K123,"")</f>
        <v/>
      </c>
      <c r="L114" t="str">
        <f>IF(AND(Projects!E123&lt;&gt;"", Projects!F123&lt;&gt;""),
INDEX('Duration Table'!$D$7:$H$17,MATCH(Projects!E123,'Duration Table'!$C$7:$C$17,0),MATCH(Projects!F123,'Duration Table'!$D$6:$H$6)),
   ""
)</f>
        <v/>
      </c>
      <c r="M114" s="45" t="str" cm="1">
        <f t="array" ref="M114">_xlfn.IFS(
    G114&lt;&gt;"",G114,
    H114&lt;&gt;"",EDATE(H114,-0.25*L114),
    N114&lt;&gt;"",EDATE(N114,-0.25*L114),
    TRUE,""
)</f>
        <v/>
      </c>
      <c r="N114" s="45" t="str" cm="1">
        <f t="array" ref="N114">_xlfn.IFS(
    H114&lt;&gt;"", H114,
    COUNT(G114,I114)=2, (G114 + (DATEDIF(G114,I114,"d")*0.5)),
    COUNT(G114,J114)=2, (G114 + (DATEDIF(G114,J114,"d")*0.25)),
    COUNT(G114,K114)=2, (G114 + ((DATEDIF(G114,K114,"d")-90)*0.25)),
    COUNT(I114,J114)=2, (I114 -(DATEDIF(I114,J114,"d")*0.5)),
    COUNT(I114,K114)=2, (I114 -((DATEDIF(I114,K114,"d")-90)*0.5)),
    G114&lt;&gt;"", EDATE(G114, + L114*0.25),
    I114&lt;&gt;"", EDATE(I114, - L114*0.25),
    J114&lt;&gt;"", EDATE(J114, - L114*0.75),
    K114&lt;&gt;"", EDATE(K114, -((L114*0.75)+3)),
    TRUE, ""
)</f>
        <v/>
      </c>
      <c r="O114" s="45" t="str" cm="1">
        <f t="array" ref="O114">_xlfn.IFS(
    I114&lt;&gt;"", I114,
    COUNT(H114,J114)=2, (H114 + (DATEDIF(H114,J114,"d")*0.33)),
    COUNT(H114,K114)=2, (H114 + ((DATEDIF(H114,K114,"d")-90)*0.33)),
    COUNT(G114,J114)=2, (G114 +  DATEDIF(G114,J114,"d")*0.5),
    COUNT(G114,K114)=2, (G114 + (DATEDIF(G114,K114,"d")-90)*0.5),
    G114&lt;&gt;"", EDATE(G114, + L114*0.5),
    H114&lt;&gt;"", EDATE(H114, + L114*0.25),
    J114&lt;&gt;"", EDATE(J114, - L114*0.5),
    K114&lt;&gt;"", EDATE(K114, -((L114*0.5)+3)),
    TRUE, ""
)</f>
        <v/>
      </c>
      <c r="P114" s="45" t="str" cm="1">
        <f t="array" ref="P114">_xlfn.IFS(
    J114&lt;&gt;"", J114,
    K114&lt;&gt;"", EDATE(K114, -3),
    G114&lt;&gt;"", EDATE(G114, + L114),
    H114&lt;&gt;"", EDATE(H114, + L114*0.75),
    I114&lt;&gt;"", EDATE(I114, H L114*0.5),
    TRUE, ""
)</f>
        <v/>
      </c>
      <c r="Q114" s="45" t="str" cm="1">
        <f t="array" ref="Q114">_xlfn.IFS(
    K114&lt;&gt;"",K114,
    J114&lt;&gt;"",EDATE(J114,3),
    P114&lt;&gt;"",EDATE(P114,3),
    TRUE,""
)</f>
        <v/>
      </c>
    </row>
    <row r="115" spans="1:17" x14ac:dyDescent="0.3">
      <c r="A115" t="str">
        <f>IF(AND(Projects!A124="", Projects!B124=""), "", IF(Projects!A124="", "Unassigned", Projects!A124))</f>
        <v/>
      </c>
      <c r="B115" t="str">
        <f>IF(Projects!B124&lt;&gt;"",Projects!B124,"")</f>
        <v/>
      </c>
      <c r="C115" t="str">
        <f>IF(AND(Projects!C124="", Projects!B124=""), "", IF(Projects!C124="", "None", Projects!C124))</f>
        <v/>
      </c>
      <c r="D115" t="str">
        <f>IF(AND(Projects!D124="", Projects!B124=""), "", IF(Projects!D124="", "No OpCo", Projects!D124))</f>
        <v/>
      </c>
      <c r="E115" t="str">
        <f>IF(Projects!E124&lt;&gt;"",Projects!E124,"")</f>
        <v/>
      </c>
      <c r="F115" t="str">
        <f>IF(Projects!F124&lt;&gt;"",Projects!F124,"")</f>
        <v/>
      </c>
      <c r="G115" s="45" t="str">
        <f>IF(Projects!G124&lt;&gt;"",Projects!G124,"")</f>
        <v/>
      </c>
      <c r="H115" s="45" t="str">
        <f>IF(Projects!H124&lt;&gt;"",Projects!H124,"")</f>
        <v/>
      </c>
      <c r="I115" s="45" t="str">
        <f>IF(Projects!I124&lt;&gt;"",Projects!I124,"")</f>
        <v/>
      </c>
      <c r="J115" s="45" t="str">
        <f>IF(Projects!J124&lt;&gt;"",Projects!J124,"")</f>
        <v/>
      </c>
      <c r="K115" s="45" t="str">
        <f>IF(Projects!K124&lt;&gt;"",Projects!K124,"")</f>
        <v/>
      </c>
      <c r="L115" t="str">
        <f>IF(AND(Projects!E124&lt;&gt;"", Projects!F124&lt;&gt;""),
INDEX('Duration Table'!$D$7:$H$17,MATCH(Projects!E124,'Duration Table'!$C$7:$C$17,0),MATCH(Projects!F124,'Duration Table'!$D$6:$H$6)),
   ""
)</f>
        <v/>
      </c>
      <c r="M115" s="45" t="str" cm="1">
        <f t="array" ref="M115">_xlfn.IFS(
    G115&lt;&gt;"",G115,
    H115&lt;&gt;"",EDATE(H115,-0.25*L115),
    N115&lt;&gt;"",EDATE(N115,-0.25*L115),
    TRUE,""
)</f>
        <v/>
      </c>
      <c r="N115" s="45" t="str" cm="1">
        <f t="array" ref="N115">_xlfn.IFS(
    H115&lt;&gt;"", H115,
    COUNT(G115,I115)=2, (G115 + (DATEDIF(G115,I115,"d")*0.5)),
    COUNT(G115,J115)=2, (G115 + (DATEDIF(G115,J115,"d")*0.25)),
    COUNT(G115,K115)=2, (G115 + ((DATEDIF(G115,K115,"d")-90)*0.25)),
    COUNT(I115,J115)=2, (I115 -(DATEDIF(I115,J115,"d")*0.5)),
    COUNT(I115,K115)=2, (I115 -((DATEDIF(I115,K115,"d")-90)*0.5)),
    G115&lt;&gt;"", EDATE(G115, + L115*0.25),
    I115&lt;&gt;"", EDATE(I115, - L115*0.25),
    J115&lt;&gt;"", EDATE(J115, - L115*0.75),
    K115&lt;&gt;"", EDATE(K115, -((L115*0.75)+3)),
    TRUE, ""
)</f>
        <v/>
      </c>
      <c r="O115" s="45" t="str" cm="1">
        <f t="array" ref="O115">_xlfn.IFS(
    I115&lt;&gt;"", I115,
    COUNT(H115,J115)=2, (H115 + (DATEDIF(H115,J115,"d")*0.33)),
    COUNT(H115,K115)=2, (H115 + ((DATEDIF(H115,K115,"d")-90)*0.33)),
    COUNT(G115,J115)=2, (G115 +  DATEDIF(G115,J115,"d")*0.5),
    COUNT(G115,K115)=2, (G115 + (DATEDIF(G115,K115,"d")-90)*0.5),
    G115&lt;&gt;"", EDATE(G115, + L115*0.5),
    H115&lt;&gt;"", EDATE(H115, + L115*0.25),
    J115&lt;&gt;"", EDATE(J115, - L115*0.5),
    K115&lt;&gt;"", EDATE(K115, -((L115*0.5)+3)),
    TRUE, ""
)</f>
        <v/>
      </c>
      <c r="P115" s="45" t="str" cm="1">
        <f t="array" ref="P115">_xlfn.IFS(
    J115&lt;&gt;"", J115,
    K115&lt;&gt;"", EDATE(K115, -3),
    G115&lt;&gt;"", EDATE(G115, + L115),
    H115&lt;&gt;"", EDATE(H115, + L115*0.75),
    I115&lt;&gt;"", EDATE(I115, H L115*0.5),
    TRUE, ""
)</f>
        <v/>
      </c>
      <c r="Q115" s="45" t="str" cm="1">
        <f t="array" ref="Q115">_xlfn.IFS(
    K115&lt;&gt;"",K115,
    J115&lt;&gt;"",EDATE(J115,3),
    P115&lt;&gt;"",EDATE(P115,3),
    TRUE,""
)</f>
        <v/>
      </c>
    </row>
    <row r="116" spans="1:17" x14ac:dyDescent="0.3">
      <c r="A116" t="str">
        <f>IF(AND(Projects!A125="", Projects!B125=""), "", IF(Projects!A125="", "Unassigned", Projects!A125))</f>
        <v/>
      </c>
      <c r="B116" t="str">
        <f>IF(Projects!B125&lt;&gt;"",Projects!B125,"")</f>
        <v/>
      </c>
      <c r="C116" t="str">
        <f>IF(AND(Projects!C125="", Projects!B125=""), "", IF(Projects!C125="", "None", Projects!C125))</f>
        <v/>
      </c>
      <c r="D116" t="str">
        <f>IF(AND(Projects!D125="", Projects!B125=""), "", IF(Projects!D125="", "No OpCo", Projects!D125))</f>
        <v/>
      </c>
      <c r="E116" t="str">
        <f>IF(Projects!E125&lt;&gt;"",Projects!E125,"")</f>
        <v/>
      </c>
      <c r="F116" t="str">
        <f>IF(Projects!F125&lt;&gt;"",Projects!F125,"")</f>
        <v/>
      </c>
      <c r="G116" s="45" t="str">
        <f>IF(Projects!G125&lt;&gt;"",Projects!G125,"")</f>
        <v/>
      </c>
      <c r="H116" s="45" t="str">
        <f>IF(Projects!H125&lt;&gt;"",Projects!H125,"")</f>
        <v/>
      </c>
      <c r="I116" s="45" t="str">
        <f>IF(Projects!I125&lt;&gt;"",Projects!I125,"")</f>
        <v/>
      </c>
      <c r="J116" s="45" t="str">
        <f>IF(Projects!J125&lt;&gt;"",Projects!J125,"")</f>
        <v/>
      </c>
      <c r="K116" s="45" t="str">
        <f>IF(Projects!K125&lt;&gt;"",Projects!K125,"")</f>
        <v/>
      </c>
      <c r="L116" t="str">
        <f>IF(AND(Projects!E125&lt;&gt;"", Projects!F125&lt;&gt;""),
INDEX('Duration Table'!$D$7:$H$17,MATCH(Projects!E125,'Duration Table'!$C$7:$C$17,0),MATCH(Projects!F125,'Duration Table'!$D$6:$H$6)),
   ""
)</f>
        <v/>
      </c>
      <c r="M116" s="45" t="str" cm="1">
        <f t="array" ref="M116">_xlfn.IFS(
    G116&lt;&gt;"",G116,
    H116&lt;&gt;"",EDATE(H116,-0.25*L116),
    N116&lt;&gt;"",EDATE(N116,-0.25*L116),
    TRUE,""
)</f>
        <v/>
      </c>
      <c r="N116" s="45" t="str" cm="1">
        <f t="array" ref="N116">_xlfn.IFS(
    H116&lt;&gt;"", H116,
    COUNT(G116,I116)=2, (G116 + (DATEDIF(G116,I116,"d")*0.5)),
    COUNT(G116,J116)=2, (G116 + (DATEDIF(G116,J116,"d")*0.25)),
    COUNT(G116,K116)=2, (G116 + ((DATEDIF(G116,K116,"d")-90)*0.25)),
    COUNT(I116,J116)=2, (I116 -(DATEDIF(I116,J116,"d")*0.5)),
    COUNT(I116,K116)=2, (I116 -((DATEDIF(I116,K116,"d")-90)*0.5)),
    G116&lt;&gt;"", EDATE(G116, + L116*0.25),
    I116&lt;&gt;"", EDATE(I116, - L116*0.25),
    J116&lt;&gt;"", EDATE(J116, - L116*0.75),
    K116&lt;&gt;"", EDATE(K116, -((L116*0.75)+3)),
    TRUE, ""
)</f>
        <v/>
      </c>
      <c r="O116" s="45" t="str" cm="1">
        <f t="array" ref="O116">_xlfn.IFS(
    I116&lt;&gt;"", I116,
    COUNT(H116,J116)=2, (H116 + (DATEDIF(H116,J116,"d")*0.33)),
    COUNT(H116,K116)=2, (H116 + ((DATEDIF(H116,K116,"d")-90)*0.33)),
    COUNT(G116,J116)=2, (G116 +  DATEDIF(G116,J116,"d")*0.5),
    COUNT(G116,K116)=2, (G116 + (DATEDIF(G116,K116,"d")-90)*0.5),
    G116&lt;&gt;"", EDATE(G116, + L116*0.5),
    H116&lt;&gt;"", EDATE(H116, + L116*0.25),
    J116&lt;&gt;"", EDATE(J116, - L116*0.5),
    K116&lt;&gt;"", EDATE(K116, -((L116*0.5)+3)),
    TRUE, ""
)</f>
        <v/>
      </c>
      <c r="P116" s="45" t="str" cm="1">
        <f t="array" ref="P116">_xlfn.IFS(
    J116&lt;&gt;"", J116,
    K116&lt;&gt;"", EDATE(K116, -3),
    G116&lt;&gt;"", EDATE(G116, + L116),
    H116&lt;&gt;"", EDATE(H116, + L116*0.75),
    I116&lt;&gt;"", EDATE(I116, H L116*0.5),
    TRUE, ""
)</f>
        <v/>
      </c>
      <c r="Q116" s="45" t="str" cm="1">
        <f t="array" ref="Q116">_xlfn.IFS(
    K116&lt;&gt;"",K116,
    J116&lt;&gt;"",EDATE(J116,3),
    P116&lt;&gt;"",EDATE(P116,3),
    TRUE,""
)</f>
        <v/>
      </c>
    </row>
    <row r="117" spans="1:17" x14ac:dyDescent="0.3">
      <c r="A117" t="str">
        <f>IF(AND(Projects!A126="", Projects!B126=""), "", IF(Projects!A126="", "Unassigned", Projects!A126))</f>
        <v/>
      </c>
      <c r="B117" t="str">
        <f>IF(Projects!B126&lt;&gt;"",Projects!B126,"")</f>
        <v/>
      </c>
      <c r="C117" t="str">
        <f>IF(AND(Projects!C126="", Projects!B126=""), "", IF(Projects!C126="", "None", Projects!C126))</f>
        <v/>
      </c>
      <c r="D117" t="str">
        <f>IF(AND(Projects!D126="", Projects!B126=""), "", IF(Projects!D126="", "No OpCo", Projects!D126))</f>
        <v/>
      </c>
      <c r="E117" t="str">
        <f>IF(Projects!E126&lt;&gt;"",Projects!E126,"")</f>
        <v/>
      </c>
      <c r="F117" t="str">
        <f>IF(Projects!F126&lt;&gt;"",Projects!F126,"")</f>
        <v/>
      </c>
      <c r="G117" s="45" t="str">
        <f>IF(Projects!G126&lt;&gt;"",Projects!G126,"")</f>
        <v/>
      </c>
      <c r="H117" s="45" t="str">
        <f>IF(Projects!H126&lt;&gt;"",Projects!H126,"")</f>
        <v/>
      </c>
      <c r="I117" s="45" t="str">
        <f>IF(Projects!I126&lt;&gt;"",Projects!I126,"")</f>
        <v/>
      </c>
      <c r="J117" s="45" t="str">
        <f>IF(Projects!J126&lt;&gt;"",Projects!J126,"")</f>
        <v/>
      </c>
      <c r="K117" s="45" t="str">
        <f>IF(Projects!K126&lt;&gt;"",Projects!K126,"")</f>
        <v/>
      </c>
      <c r="L117" t="str">
        <f>IF(AND(Projects!E126&lt;&gt;"", Projects!F126&lt;&gt;""),
INDEX('Duration Table'!$D$7:$H$17,MATCH(Projects!E126,'Duration Table'!$C$7:$C$17,0),MATCH(Projects!F126,'Duration Table'!$D$6:$H$6)),
   ""
)</f>
        <v/>
      </c>
      <c r="M117" s="45" t="str" cm="1">
        <f t="array" ref="M117">_xlfn.IFS(
    G117&lt;&gt;"",G117,
    H117&lt;&gt;"",EDATE(H117,-0.25*L117),
    N117&lt;&gt;"",EDATE(N117,-0.25*L117),
    TRUE,""
)</f>
        <v/>
      </c>
      <c r="N117" s="45" t="str" cm="1">
        <f t="array" ref="N117">_xlfn.IFS(
    H117&lt;&gt;"", H117,
    COUNT(G117,I117)=2, (G117 + (DATEDIF(G117,I117,"d")*0.5)),
    COUNT(G117,J117)=2, (G117 + (DATEDIF(G117,J117,"d")*0.25)),
    COUNT(G117,K117)=2, (G117 + ((DATEDIF(G117,K117,"d")-90)*0.25)),
    COUNT(I117,J117)=2, (I117 -(DATEDIF(I117,J117,"d")*0.5)),
    COUNT(I117,K117)=2, (I117 -((DATEDIF(I117,K117,"d")-90)*0.5)),
    G117&lt;&gt;"", EDATE(G117, + L117*0.25),
    I117&lt;&gt;"", EDATE(I117, - L117*0.25),
    J117&lt;&gt;"", EDATE(J117, - L117*0.75),
    K117&lt;&gt;"", EDATE(K117, -((L117*0.75)+3)),
    TRUE, ""
)</f>
        <v/>
      </c>
      <c r="O117" s="45" t="str" cm="1">
        <f t="array" ref="O117">_xlfn.IFS(
    I117&lt;&gt;"", I117,
    COUNT(H117,J117)=2, (H117 + (DATEDIF(H117,J117,"d")*0.33)),
    COUNT(H117,K117)=2, (H117 + ((DATEDIF(H117,K117,"d")-90)*0.33)),
    COUNT(G117,J117)=2, (G117 +  DATEDIF(G117,J117,"d")*0.5),
    COUNT(G117,K117)=2, (G117 + (DATEDIF(G117,K117,"d")-90)*0.5),
    G117&lt;&gt;"", EDATE(G117, + L117*0.5),
    H117&lt;&gt;"", EDATE(H117, + L117*0.25),
    J117&lt;&gt;"", EDATE(J117, - L117*0.5),
    K117&lt;&gt;"", EDATE(K117, -((L117*0.5)+3)),
    TRUE, ""
)</f>
        <v/>
      </c>
      <c r="P117" s="45" t="str" cm="1">
        <f t="array" ref="P117">_xlfn.IFS(
    J117&lt;&gt;"", J117,
    K117&lt;&gt;"", EDATE(K117, -3),
    G117&lt;&gt;"", EDATE(G117, + L117),
    H117&lt;&gt;"", EDATE(H117, + L117*0.75),
    I117&lt;&gt;"", EDATE(I117, H L117*0.5),
    TRUE, ""
)</f>
        <v/>
      </c>
      <c r="Q117" s="45" t="str" cm="1">
        <f t="array" ref="Q117">_xlfn.IFS(
    K117&lt;&gt;"",K117,
    J117&lt;&gt;"",EDATE(J117,3),
    P117&lt;&gt;"",EDATE(P117,3),
    TRUE,""
)</f>
        <v/>
      </c>
    </row>
    <row r="118" spans="1:17" x14ac:dyDescent="0.3">
      <c r="A118" t="str">
        <f>IF(AND(Projects!A127="", Projects!B127=""), "", IF(Projects!A127="", "Unassigned", Projects!A127))</f>
        <v/>
      </c>
      <c r="B118" t="str">
        <f>IF(Projects!B127&lt;&gt;"",Projects!B127,"")</f>
        <v/>
      </c>
      <c r="C118" t="str">
        <f>IF(AND(Projects!C127="", Projects!B127=""), "", IF(Projects!C127="", "None", Projects!C127))</f>
        <v/>
      </c>
      <c r="D118" t="str">
        <f>IF(AND(Projects!D127="", Projects!B127=""), "", IF(Projects!D127="", "No OpCo", Projects!D127))</f>
        <v/>
      </c>
      <c r="E118" t="str">
        <f>IF(Projects!E127&lt;&gt;"",Projects!E127,"")</f>
        <v/>
      </c>
      <c r="F118" t="str">
        <f>IF(Projects!F127&lt;&gt;"",Projects!F127,"")</f>
        <v/>
      </c>
      <c r="G118" s="45" t="str">
        <f>IF(Projects!G127&lt;&gt;"",Projects!G127,"")</f>
        <v/>
      </c>
      <c r="H118" s="45" t="str">
        <f>IF(Projects!H127&lt;&gt;"",Projects!H127,"")</f>
        <v/>
      </c>
      <c r="I118" s="45" t="str">
        <f>IF(Projects!I127&lt;&gt;"",Projects!I127,"")</f>
        <v/>
      </c>
      <c r="J118" s="45" t="str">
        <f>IF(Projects!J127&lt;&gt;"",Projects!J127,"")</f>
        <v/>
      </c>
      <c r="K118" s="45" t="str">
        <f>IF(Projects!K127&lt;&gt;"",Projects!K127,"")</f>
        <v/>
      </c>
      <c r="L118" t="str">
        <f>IF(AND(Projects!E127&lt;&gt;"", Projects!F127&lt;&gt;""),
INDEX('Duration Table'!$D$7:$H$17,MATCH(Projects!E127,'Duration Table'!$C$7:$C$17,0),MATCH(Projects!F127,'Duration Table'!$D$6:$H$6)),
   ""
)</f>
        <v/>
      </c>
      <c r="M118" s="45" t="str" cm="1">
        <f t="array" ref="M118">_xlfn.IFS(
    G118&lt;&gt;"",G118,
    H118&lt;&gt;"",EDATE(H118,-0.25*L118),
    N118&lt;&gt;"",EDATE(N118,-0.25*L118),
    TRUE,""
)</f>
        <v/>
      </c>
      <c r="N118" s="45" t="str" cm="1">
        <f t="array" ref="N118">_xlfn.IFS(
    H118&lt;&gt;"", H118,
    COUNT(G118,I118)=2, (G118 + (DATEDIF(G118,I118,"d")*0.5)),
    COUNT(G118,J118)=2, (G118 + (DATEDIF(G118,J118,"d")*0.25)),
    COUNT(G118,K118)=2, (G118 + ((DATEDIF(G118,K118,"d")-90)*0.25)),
    COUNT(I118,J118)=2, (I118 -(DATEDIF(I118,J118,"d")*0.5)),
    COUNT(I118,K118)=2, (I118 -((DATEDIF(I118,K118,"d")-90)*0.5)),
    G118&lt;&gt;"", EDATE(G118, + L118*0.25),
    I118&lt;&gt;"", EDATE(I118, - L118*0.25),
    J118&lt;&gt;"", EDATE(J118, - L118*0.75),
    K118&lt;&gt;"", EDATE(K118, -((L118*0.75)+3)),
    TRUE, ""
)</f>
        <v/>
      </c>
      <c r="O118" s="45" t="str" cm="1">
        <f t="array" ref="O118">_xlfn.IFS(
    I118&lt;&gt;"", I118,
    COUNT(H118,J118)=2, (H118 + (DATEDIF(H118,J118,"d")*0.33)),
    COUNT(H118,K118)=2, (H118 + ((DATEDIF(H118,K118,"d")-90)*0.33)),
    COUNT(G118,J118)=2, (G118 +  DATEDIF(G118,J118,"d")*0.5),
    COUNT(G118,K118)=2, (G118 + (DATEDIF(G118,K118,"d")-90)*0.5),
    G118&lt;&gt;"", EDATE(G118, + L118*0.5),
    H118&lt;&gt;"", EDATE(H118, + L118*0.25),
    J118&lt;&gt;"", EDATE(J118, - L118*0.5),
    K118&lt;&gt;"", EDATE(K118, -((L118*0.5)+3)),
    TRUE, ""
)</f>
        <v/>
      </c>
      <c r="P118" s="45" t="str" cm="1">
        <f t="array" ref="P118">_xlfn.IFS(
    J118&lt;&gt;"", J118,
    K118&lt;&gt;"", EDATE(K118, -3),
    G118&lt;&gt;"", EDATE(G118, + L118),
    H118&lt;&gt;"", EDATE(H118, + L118*0.75),
    I118&lt;&gt;"", EDATE(I118, H L118*0.5),
    TRUE, ""
)</f>
        <v/>
      </c>
      <c r="Q118" s="45" t="str" cm="1">
        <f t="array" ref="Q118">_xlfn.IFS(
    K118&lt;&gt;"",K118,
    J118&lt;&gt;"",EDATE(J118,3),
    P118&lt;&gt;"",EDATE(P118,3),
    TRUE,""
)</f>
        <v/>
      </c>
    </row>
    <row r="119" spans="1:17" x14ac:dyDescent="0.3">
      <c r="A119" t="str">
        <f>IF(AND(Projects!A128="", Projects!B128=""), "", IF(Projects!A128="", "Unassigned", Projects!A128))</f>
        <v/>
      </c>
      <c r="B119" t="str">
        <f>IF(Projects!B128&lt;&gt;"",Projects!B128,"")</f>
        <v/>
      </c>
      <c r="C119" t="str">
        <f>IF(AND(Projects!C128="", Projects!B128=""), "", IF(Projects!C128="", "None", Projects!C128))</f>
        <v/>
      </c>
      <c r="D119" t="str">
        <f>IF(AND(Projects!D128="", Projects!B128=""), "", IF(Projects!D128="", "No OpCo", Projects!D128))</f>
        <v/>
      </c>
      <c r="E119" t="str">
        <f>IF(Projects!E128&lt;&gt;"",Projects!E128,"")</f>
        <v/>
      </c>
      <c r="F119" t="str">
        <f>IF(Projects!F128&lt;&gt;"",Projects!F128,"")</f>
        <v/>
      </c>
      <c r="G119" s="45" t="str">
        <f>IF(Projects!G128&lt;&gt;"",Projects!G128,"")</f>
        <v/>
      </c>
      <c r="H119" s="45" t="str">
        <f>IF(Projects!H128&lt;&gt;"",Projects!H128,"")</f>
        <v/>
      </c>
      <c r="I119" s="45" t="str">
        <f>IF(Projects!I128&lt;&gt;"",Projects!I128,"")</f>
        <v/>
      </c>
      <c r="J119" s="45" t="str">
        <f>IF(Projects!J128&lt;&gt;"",Projects!J128,"")</f>
        <v/>
      </c>
      <c r="K119" s="45" t="str">
        <f>IF(Projects!K128&lt;&gt;"",Projects!K128,"")</f>
        <v/>
      </c>
      <c r="L119" t="str">
        <f>IF(AND(Projects!E128&lt;&gt;"", Projects!F128&lt;&gt;""),
INDEX('Duration Table'!$D$7:$H$17,MATCH(Projects!E128,'Duration Table'!$C$7:$C$17,0),MATCH(Projects!F128,'Duration Table'!$D$6:$H$6)),
   ""
)</f>
        <v/>
      </c>
      <c r="M119" s="45" t="str" cm="1">
        <f t="array" ref="M119">_xlfn.IFS(
    G119&lt;&gt;"",G119,
    H119&lt;&gt;"",EDATE(H119,-0.25*L119),
    N119&lt;&gt;"",EDATE(N119,-0.25*L119),
    TRUE,""
)</f>
        <v/>
      </c>
      <c r="N119" s="45" t="str" cm="1">
        <f t="array" ref="N119">_xlfn.IFS(
    H119&lt;&gt;"", H119,
    COUNT(G119,I119)=2, (G119 + (DATEDIF(G119,I119,"d")*0.5)),
    COUNT(G119,J119)=2, (G119 + (DATEDIF(G119,J119,"d")*0.25)),
    COUNT(G119,K119)=2, (G119 + ((DATEDIF(G119,K119,"d")-90)*0.25)),
    COUNT(I119,J119)=2, (I119 -(DATEDIF(I119,J119,"d")*0.5)),
    COUNT(I119,K119)=2, (I119 -((DATEDIF(I119,K119,"d")-90)*0.5)),
    G119&lt;&gt;"", EDATE(G119, + L119*0.25),
    I119&lt;&gt;"", EDATE(I119, - L119*0.25),
    J119&lt;&gt;"", EDATE(J119, - L119*0.75),
    K119&lt;&gt;"", EDATE(K119, -((L119*0.75)+3)),
    TRUE, ""
)</f>
        <v/>
      </c>
      <c r="O119" s="45" t="str" cm="1">
        <f t="array" ref="O119">_xlfn.IFS(
    I119&lt;&gt;"", I119,
    COUNT(H119,J119)=2, (H119 + (DATEDIF(H119,J119,"d")*0.33)),
    COUNT(H119,K119)=2, (H119 + ((DATEDIF(H119,K119,"d")-90)*0.33)),
    COUNT(G119,J119)=2, (G119 +  DATEDIF(G119,J119,"d")*0.5),
    COUNT(G119,K119)=2, (G119 + (DATEDIF(G119,K119,"d")-90)*0.5),
    G119&lt;&gt;"", EDATE(G119, + L119*0.5),
    H119&lt;&gt;"", EDATE(H119, + L119*0.25),
    J119&lt;&gt;"", EDATE(J119, - L119*0.5),
    K119&lt;&gt;"", EDATE(K119, -((L119*0.5)+3)),
    TRUE, ""
)</f>
        <v/>
      </c>
      <c r="P119" s="45" t="str" cm="1">
        <f t="array" ref="P119">_xlfn.IFS(
    J119&lt;&gt;"", J119,
    K119&lt;&gt;"", EDATE(K119, -3),
    G119&lt;&gt;"", EDATE(G119, + L119),
    H119&lt;&gt;"", EDATE(H119, + L119*0.75),
    I119&lt;&gt;"", EDATE(I119, H L119*0.5),
    TRUE, ""
)</f>
        <v/>
      </c>
      <c r="Q119" s="45" t="str" cm="1">
        <f t="array" ref="Q119">_xlfn.IFS(
    K119&lt;&gt;"",K119,
    J119&lt;&gt;"",EDATE(J119,3),
    P119&lt;&gt;"",EDATE(P119,3),
    TRUE,""
)</f>
        <v/>
      </c>
    </row>
    <row r="120" spans="1:17" x14ac:dyDescent="0.3">
      <c r="A120" t="str">
        <f>IF(AND(Projects!A129="", Projects!B129=""), "", IF(Projects!A129="", "Unassigned", Projects!A129))</f>
        <v/>
      </c>
      <c r="B120" t="str">
        <f>IF(Projects!B129&lt;&gt;"",Projects!B129,"")</f>
        <v/>
      </c>
      <c r="C120" t="str">
        <f>IF(AND(Projects!C129="", Projects!B129=""), "", IF(Projects!C129="", "None", Projects!C129))</f>
        <v/>
      </c>
      <c r="D120" t="str">
        <f>IF(AND(Projects!D129="", Projects!B129=""), "", IF(Projects!D129="", "No OpCo", Projects!D129))</f>
        <v/>
      </c>
      <c r="E120" t="str">
        <f>IF(Projects!E129&lt;&gt;"",Projects!E129,"")</f>
        <v/>
      </c>
      <c r="F120" t="str">
        <f>IF(Projects!F129&lt;&gt;"",Projects!F129,"")</f>
        <v/>
      </c>
      <c r="G120" s="45" t="str">
        <f>IF(Projects!G129&lt;&gt;"",Projects!G129,"")</f>
        <v/>
      </c>
      <c r="H120" s="45" t="str">
        <f>IF(Projects!H129&lt;&gt;"",Projects!H129,"")</f>
        <v/>
      </c>
      <c r="I120" s="45" t="str">
        <f>IF(Projects!I129&lt;&gt;"",Projects!I129,"")</f>
        <v/>
      </c>
      <c r="J120" s="45" t="str">
        <f>IF(Projects!J129&lt;&gt;"",Projects!J129,"")</f>
        <v/>
      </c>
      <c r="K120" s="45" t="str">
        <f>IF(Projects!K129&lt;&gt;"",Projects!K129,"")</f>
        <v/>
      </c>
      <c r="L120" t="str">
        <f>IF(AND(Projects!E129&lt;&gt;"", Projects!F129&lt;&gt;""),
INDEX('Duration Table'!$D$7:$H$17,MATCH(Projects!E129,'Duration Table'!$C$7:$C$17,0),MATCH(Projects!F129,'Duration Table'!$D$6:$H$6)),
   ""
)</f>
        <v/>
      </c>
      <c r="M120" s="45" t="str" cm="1">
        <f t="array" ref="M120">_xlfn.IFS(
    G120&lt;&gt;"",G120,
    H120&lt;&gt;"",EDATE(H120,-0.25*L120),
    N120&lt;&gt;"",EDATE(N120,-0.25*L120),
    TRUE,""
)</f>
        <v/>
      </c>
      <c r="N120" s="45" t="str" cm="1">
        <f t="array" ref="N120">_xlfn.IFS(
    H120&lt;&gt;"", H120,
    COUNT(G120,I120)=2, (G120 + (DATEDIF(G120,I120,"d")*0.5)),
    COUNT(G120,J120)=2, (G120 + (DATEDIF(G120,J120,"d")*0.25)),
    COUNT(G120,K120)=2, (G120 + ((DATEDIF(G120,K120,"d")-90)*0.25)),
    COUNT(I120,J120)=2, (I120 -(DATEDIF(I120,J120,"d")*0.5)),
    COUNT(I120,K120)=2, (I120 -((DATEDIF(I120,K120,"d")-90)*0.5)),
    G120&lt;&gt;"", EDATE(G120, + L120*0.25),
    I120&lt;&gt;"", EDATE(I120, - L120*0.25),
    J120&lt;&gt;"", EDATE(J120, - L120*0.75),
    K120&lt;&gt;"", EDATE(K120, -((L120*0.75)+3)),
    TRUE, ""
)</f>
        <v/>
      </c>
      <c r="O120" s="45" t="str" cm="1">
        <f t="array" ref="O120">_xlfn.IFS(
    I120&lt;&gt;"", I120,
    COUNT(H120,J120)=2, (H120 + (DATEDIF(H120,J120,"d")*0.33)),
    COUNT(H120,K120)=2, (H120 + ((DATEDIF(H120,K120,"d")-90)*0.33)),
    COUNT(G120,J120)=2, (G120 +  DATEDIF(G120,J120,"d")*0.5),
    COUNT(G120,K120)=2, (G120 + (DATEDIF(G120,K120,"d")-90)*0.5),
    G120&lt;&gt;"", EDATE(G120, + L120*0.5),
    H120&lt;&gt;"", EDATE(H120, + L120*0.25),
    J120&lt;&gt;"", EDATE(J120, - L120*0.5),
    K120&lt;&gt;"", EDATE(K120, -((L120*0.5)+3)),
    TRUE, ""
)</f>
        <v/>
      </c>
      <c r="P120" s="45" t="str" cm="1">
        <f t="array" ref="P120">_xlfn.IFS(
    J120&lt;&gt;"", J120,
    K120&lt;&gt;"", EDATE(K120, -3),
    G120&lt;&gt;"", EDATE(G120, + L120),
    H120&lt;&gt;"", EDATE(H120, + L120*0.75),
    I120&lt;&gt;"", EDATE(I120, H L120*0.5),
    TRUE, ""
)</f>
        <v/>
      </c>
      <c r="Q120" s="45" t="str" cm="1">
        <f t="array" ref="Q120">_xlfn.IFS(
    K120&lt;&gt;"",K120,
    J120&lt;&gt;"",EDATE(J120,3),
    P120&lt;&gt;"",EDATE(P120,3),
    TRUE,""
)</f>
        <v/>
      </c>
    </row>
    <row r="121" spans="1:17" x14ac:dyDescent="0.3">
      <c r="A121" t="str">
        <f>IF(AND(Projects!A130="", Projects!B130=""), "", IF(Projects!A130="", "Unassigned", Projects!A130))</f>
        <v/>
      </c>
      <c r="B121" t="str">
        <f>IF(Projects!B130&lt;&gt;"",Projects!B130,"")</f>
        <v/>
      </c>
      <c r="C121" t="str">
        <f>IF(AND(Projects!C130="", Projects!B130=""), "", IF(Projects!C130="", "None", Projects!C130))</f>
        <v/>
      </c>
      <c r="D121" t="str">
        <f>IF(AND(Projects!D130="", Projects!B130=""), "", IF(Projects!D130="", "No OpCo", Projects!D130))</f>
        <v/>
      </c>
      <c r="E121" t="str">
        <f>IF(Projects!E130&lt;&gt;"",Projects!E130,"")</f>
        <v/>
      </c>
      <c r="F121" t="str">
        <f>IF(Projects!F130&lt;&gt;"",Projects!F130,"")</f>
        <v/>
      </c>
      <c r="G121" s="45" t="str">
        <f>IF(Projects!G130&lt;&gt;"",Projects!G130,"")</f>
        <v/>
      </c>
      <c r="H121" s="45" t="str">
        <f>IF(Projects!H130&lt;&gt;"",Projects!H130,"")</f>
        <v/>
      </c>
      <c r="I121" s="45" t="str">
        <f>IF(Projects!I130&lt;&gt;"",Projects!I130,"")</f>
        <v/>
      </c>
      <c r="J121" s="45" t="str">
        <f>IF(Projects!J130&lt;&gt;"",Projects!J130,"")</f>
        <v/>
      </c>
      <c r="K121" s="45" t="str">
        <f>IF(Projects!K130&lt;&gt;"",Projects!K130,"")</f>
        <v/>
      </c>
      <c r="L121" t="str">
        <f>IF(AND(Projects!E130&lt;&gt;"", Projects!F130&lt;&gt;""),
INDEX('Duration Table'!$D$7:$H$17,MATCH(Projects!E130,'Duration Table'!$C$7:$C$17,0),MATCH(Projects!F130,'Duration Table'!$D$6:$H$6)),
   ""
)</f>
        <v/>
      </c>
      <c r="M121" s="45" t="str" cm="1">
        <f t="array" ref="M121">_xlfn.IFS(
    G121&lt;&gt;"",G121,
    H121&lt;&gt;"",EDATE(H121,-0.25*L121),
    N121&lt;&gt;"",EDATE(N121,-0.25*L121),
    TRUE,""
)</f>
        <v/>
      </c>
      <c r="N121" s="45" t="str" cm="1">
        <f t="array" ref="N121">_xlfn.IFS(
    H121&lt;&gt;"", H121,
    COUNT(G121,I121)=2, (G121 + (DATEDIF(G121,I121,"d")*0.5)),
    COUNT(G121,J121)=2, (G121 + (DATEDIF(G121,J121,"d")*0.25)),
    COUNT(G121,K121)=2, (G121 + ((DATEDIF(G121,K121,"d")-90)*0.25)),
    COUNT(I121,J121)=2, (I121 -(DATEDIF(I121,J121,"d")*0.5)),
    COUNT(I121,K121)=2, (I121 -((DATEDIF(I121,K121,"d")-90)*0.5)),
    G121&lt;&gt;"", EDATE(G121, + L121*0.25),
    I121&lt;&gt;"", EDATE(I121, - L121*0.25),
    J121&lt;&gt;"", EDATE(J121, - L121*0.75),
    K121&lt;&gt;"", EDATE(K121, -((L121*0.75)+3)),
    TRUE, ""
)</f>
        <v/>
      </c>
      <c r="O121" s="45" t="str" cm="1">
        <f t="array" ref="O121">_xlfn.IFS(
    I121&lt;&gt;"", I121,
    COUNT(H121,J121)=2, (H121 + (DATEDIF(H121,J121,"d")*0.33)),
    COUNT(H121,K121)=2, (H121 + ((DATEDIF(H121,K121,"d")-90)*0.33)),
    COUNT(G121,J121)=2, (G121 +  DATEDIF(G121,J121,"d")*0.5),
    COUNT(G121,K121)=2, (G121 + (DATEDIF(G121,K121,"d")-90)*0.5),
    G121&lt;&gt;"", EDATE(G121, + L121*0.5),
    H121&lt;&gt;"", EDATE(H121, + L121*0.25),
    J121&lt;&gt;"", EDATE(J121, - L121*0.5),
    K121&lt;&gt;"", EDATE(K121, -((L121*0.5)+3)),
    TRUE, ""
)</f>
        <v/>
      </c>
      <c r="P121" s="45" t="str" cm="1">
        <f t="array" ref="P121">_xlfn.IFS(
    J121&lt;&gt;"", J121,
    K121&lt;&gt;"", EDATE(K121, -3),
    G121&lt;&gt;"", EDATE(G121, + L121),
    H121&lt;&gt;"", EDATE(H121, + L121*0.75),
    I121&lt;&gt;"", EDATE(I121, H L121*0.5),
    TRUE, ""
)</f>
        <v/>
      </c>
      <c r="Q121" s="45" t="str" cm="1">
        <f t="array" ref="Q121">_xlfn.IFS(
    K121&lt;&gt;"",K121,
    J121&lt;&gt;"",EDATE(J121,3),
    P121&lt;&gt;"",EDATE(P121,3),
    TRUE,""
)</f>
        <v/>
      </c>
    </row>
    <row r="122" spans="1:17" x14ac:dyDescent="0.3">
      <c r="A122" t="str">
        <f>IF(AND(Projects!A131="", Projects!B131=""), "", IF(Projects!A131="", "Unassigned", Projects!A131))</f>
        <v/>
      </c>
      <c r="B122" t="str">
        <f>IF(Projects!B131&lt;&gt;"",Projects!B131,"")</f>
        <v/>
      </c>
      <c r="C122" t="str">
        <f>IF(AND(Projects!C131="", Projects!B131=""), "", IF(Projects!C131="", "None", Projects!C131))</f>
        <v/>
      </c>
      <c r="D122" t="str">
        <f>IF(AND(Projects!D131="", Projects!B131=""), "", IF(Projects!D131="", "No OpCo", Projects!D131))</f>
        <v/>
      </c>
      <c r="E122" t="str">
        <f>IF(Projects!E131&lt;&gt;"",Projects!E131,"")</f>
        <v/>
      </c>
      <c r="F122" t="str">
        <f>IF(Projects!F131&lt;&gt;"",Projects!F131,"")</f>
        <v/>
      </c>
      <c r="G122" s="45" t="str">
        <f>IF(Projects!G131&lt;&gt;"",Projects!G131,"")</f>
        <v/>
      </c>
      <c r="H122" s="45" t="str">
        <f>IF(Projects!H131&lt;&gt;"",Projects!H131,"")</f>
        <v/>
      </c>
      <c r="I122" s="45" t="str">
        <f>IF(Projects!I131&lt;&gt;"",Projects!I131,"")</f>
        <v/>
      </c>
      <c r="J122" s="45" t="str">
        <f>IF(Projects!J131&lt;&gt;"",Projects!J131,"")</f>
        <v/>
      </c>
      <c r="K122" s="45" t="str">
        <f>IF(Projects!K131&lt;&gt;"",Projects!K131,"")</f>
        <v/>
      </c>
      <c r="L122" t="str">
        <f>IF(AND(Projects!E131&lt;&gt;"", Projects!F131&lt;&gt;""),
INDEX('Duration Table'!$D$7:$H$17,MATCH(Projects!E131,'Duration Table'!$C$7:$C$17,0),MATCH(Projects!F131,'Duration Table'!$D$6:$H$6)),
   ""
)</f>
        <v/>
      </c>
      <c r="M122" s="45" t="str" cm="1">
        <f t="array" ref="M122">_xlfn.IFS(
    G122&lt;&gt;"",G122,
    H122&lt;&gt;"",EDATE(H122,-0.25*L122),
    N122&lt;&gt;"",EDATE(N122,-0.25*L122),
    TRUE,""
)</f>
        <v/>
      </c>
      <c r="N122" s="45" t="str" cm="1">
        <f t="array" ref="N122">_xlfn.IFS(
    H122&lt;&gt;"", H122,
    COUNT(G122,I122)=2, (G122 + (DATEDIF(G122,I122,"d")*0.5)),
    COUNT(G122,J122)=2, (G122 + (DATEDIF(G122,J122,"d")*0.25)),
    COUNT(G122,K122)=2, (G122 + ((DATEDIF(G122,K122,"d")-90)*0.25)),
    COUNT(I122,J122)=2, (I122 -(DATEDIF(I122,J122,"d")*0.5)),
    COUNT(I122,K122)=2, (I122 -((DATEDIF(I122,K122,"d")-90)*0.5)),
    G122&lt;&gt;"", EDATE(G122, + L122*0.25),
    I122&lt;&gt;"", EDATE(I122, - L122*0.25),
    J122&lt;&gt;"", EDATE(J122, - L122*0.75),
    K122&lt;&gt;"", EDATE(K122, -((L122*0.75)+3)),
    TRUE, ""
)</f>
        <v/>
      </c>
      <c r="O122" s="45" t="str" cm="1">
        <f t="array" ref="O122">_xlfn.IFS(
    I122&lt;&gt;"", I122,
    COUNT(H122,J122)=2, (H122 + (DATEDIF(H122,J122,"d")*0.33)),
    COUNT(H122,K122)=2, (H122 + ((DATEDIF(H122,K122,"d")-90)*0.33)),
    COUNT(G122,J122)=2, (G122 +  DATEDIF(G122,J122,"d")*0.5),
    COUNT(G122,K122)=2, (G122 + (DATEDIF(G122,K122,"d")-90)*0.5),
    G122&lt;&gt;"", EDATE(G122, + L122*0.5),
    H122&lt;&gt;"", EDATE(H122, + L122*0.25),
    J122&lt;&gt;"", EDATE(J122, - L122*0.5),
    K122&lt;&gt;"", EDATE(K122, -((L122*0.5)+3)),
    TRUE, ""
)</f>
        <v/>
      </c>
      <c r="P122" s="45" t="str" cm="1">
        <f t="array" ref="P122">_xlfn.IFS(
    J122&lt;&gt;"", J122,
    K122&lt;&gt;"", EDATE(K122, -3),
    G122&lt;&gt;"", EDATE(G122, + L122),
    H122&lt;&gt;"", EDATE(H122, + L122*0.75),
    I122&lt;&gt;"", EDATE(I122, H L122*0.5),
    TRUE, ""
)</f>
        <v/>
      </c>
      <c r="Q122" s="45" t="str" cm="1">
        <f t="array" ref="Q122">_xlfn.IFS(
    K122&lt;&gt;"",K122,
    J122&lt;&gt;"",EDATE(J122,3),
    P122&lt;&gt;"",EDATE(P122,3),
    TRUE,""
)</f>
        <v/>
      </c>
    </row>
    <row r="123" spans="1:17" x14ac:dyDescent="0.3">
      <c r="A123" t="str">
        <f>IF(AND(Projects!A132="", Projects!B132=""), "", IF(Projects!A132="", "Unassigned", Projects!A132))</f>
        <v/>
      </c>
      <c r="B123" t="str">
        <f>IF(Projects!B132&lt;&gt;"",Projects!B132,"")</f>
        <v/>
      </c>
      <c r="C123" t="str">
        <f>IF(AND(Projects!C132="", Projects!B132=""), "", IF(Projects!C132="", "None", Projects!C132))</f>
        <v/>
      </c>
      <c r="D123" t="str">
        <f>IF(AND(Projects!D132="", Projects!B132=""), "", IF(Projects!D132="", "No OpCo", Projects!D132))</f>
        <v/>
      </c>
      <c r="E123" t="str">
        <f>IF(Projects!E132&lt;&gt;"",Projects!E132,"")</f>
        <v/>
      </c>
      <c r="F123" t="str">
        <f>IF(Projects!F132&lt;&gt;"",Projects!F132,"")</f>
        <v/>
      </c>
      <c r="G123" s="45" t="str">
        <f>IF(Projects!G132&lt;&gt;"",Projects!G132,"")</f>
        <v/>
      </c>
      <c r="H123" s="45" t="str">
        <f>IF(Projects!H132&lt;&gt;"",Projects!H132,"")</f>
        <v/>
      </c>
      <c r="I123" s="45" t="str">
        <f>IF(Projects!I132&lt;&gt;"",Projects!I132,"")</f>
        <v/>
      </c>
      <c r="J123" s="45" t="str">
        <f>IF(Projects!J132&lt;&gt;"",Projects!J132,"")</f>
        <v/>
      </c>
      <c r="K123" s="45" t="str">
        <f>IF(Projects!K132&lt;&gt;"",Projects!K132,"")</f>
        <v/>
      </c>
      <c r="L123" t="str">
        <f>IF(AND(Projects!E132&lt;&gt;"", Projects!F132&lt;&gt;""),
INDEX('Duration Table'!$D$7:$H$17,MATCH(Projects!E132,'Duration Table'!$C$7:$C$17,0),MATCH(Projects!F132,'Duration Table'!$D$6:$H$6)),
   ""
)</f>
        <v/>
      </c>
      <c r="M123" s="45" t="str" cm="1">
        <f t="array" ref="M123">_xlfn.IFS(
    G123&lt;&gt;"",G123,
    H123&lt;&gt;"",EDATE(H123,-0.25*L123),
    N123&lt;&gt;"",EDATE(N123,-0.25*L123),
    TRUE,""
)</f>
        <v/>
      </c>
      <c r="N123" s="45" t="str" cm="1">
        <f t="array" ref="N123">_xlfn.IFS(
    H123&lt;&gt;"", H123,
    COUNT(G123,I123)=2, (G123 + (DATEDIF(G123,I123,"d")*0.5)),
    COUNT(G123,J123)=2, (G123 + (DATEDIF(G123,J123,"d")*0.25)),
    COUNT(G123,K123)=2, (G123 + ((DATEDIF(G123,K123,"d")-90)*0.25)),
    COUNT(I123,J123)=2, (I123 -(DATEDIF(I123,J123,"d")*0.5)),
    COUNT(I123,K123)=2, (I123 -((DATEDIF(I123,K123,"d")-90)*0.5)),
    G123&lt;&gt;"", EDATE(G123, + L123*0.25),
    I123&lt;&gt;"", EDATE(I123, - L123*0.25),
    J123&lt;&gt;"", EDATE(J123, - L123*0.75),
    K123&lt;&gt;"", EDATE(K123, -((L123*0.75)+3)),
    TRUE, ""
)</f>
        <v/>
      </c>
      <c r="O123" s="45" t="str" cm="1">
        <f t="array" ref="O123">_xlfn.IFS(
    I123&lt;&gt;"", I123,
    COUNT(H123,J123)=2, (H123 + (DATEDIF(H123,J123,"d")*0.33)),
    COUNT(H123,K123)=2, (H123 + ((DATEDIF(H123,K123,"d")-90)*0.33)),
    COUNT(G123,J123)=2, (G123 +  DATEDIF(G123,J123,"d")*0.5),
    COUNT(G123,K123)=2, (G123 + (DATEDIF(G123,K123,"d")-90)*0.5),
    G123&lt;&gt;"", EDATE(G123, + L123*0.5),
    H123&lt;&gt;"", EDATE(H123, + L123*0.25),
    J123&lt;&gt;"", EDATE(J123, - L123*0.5),
    K123&lt;&gt;"", EDATE(K123, -((L123*0.5)+3)),
    TRUE, ""
)</f>
        <v/>
      </c>
      <c r="P123" s="45" t="str" cm="1">
        <f t="array" ref="P123">_xlfn.IFS(
    J123&lt;&gt;"", J123,
    K123&lt;&gt;"", EDATE(K123, -3),
    G123&lt;&gt;"", EDATE(G123, + L123),
    H123&lt;&gt;"", EDATE(H123, + L123*0.75),
    I123&lt;&gt;"", EDATE(I123, H L123*0.5),
    TRUE, ""
)</f>
        <v/>
      </c>
      <c r="Q123" s="45" t="str" cm="1">
        <f t="array" ref="Q123">_xlfn.IFS(
    K123&lt;&gt;"",K123,
    J123&lt;&gt;"",EDATE(J123,3),
    P123&lt;&gt;"",EDATE(P123,3),
    TRUE,""
)</f>
        <v/>
      </c>
    </row>
    <row r="124" spans="1:17" x14ac:dyDescent="0.3">
      <c r="A124" t="str">
        <f>IF(AND(Projects!A133="", Projects!B133=""), "", IF(Projects!A133="", "Unassigned", Projects!A133))</f>
        <v/>
      </c>
      <c r="B124" t="str">
        <f>IF(Projects!B133&lt;&gt;"",Projects!B133,"")</f>
        <v/>
      </c>
      <c r="C124" t="str">
        <f>IF(AND(Projects!C133="", Projects!B133=""), "", IF(Projects!C133="", "None", Projects!C133))</f>
        <v/>
      </c>
      <c r="D124" t="str">
        <f>IF(AND(Projects!D133="", Projects!B133=""), "", IF(Projects!D133="", "No OpCo", Projects!D133))</f>
        <v/>
      </c>
      <c r="E124" t="str">
        <f>IF(Projects!E133&lt;&gt;"",Projects!E133,"")</f>
        <v/>
      </c>
      <c r="F124" t="str">
        <f>IF(Projects!F133&lt;&gt;"",Projects!F133,"")</f>
        <v/>
      </c>
      <c r="G124" s="45" t="str">
        <f>IF(Projects!G133&lt;&gt;"",Projects!G133,"")</f>
        <v/>
      </c>
      <c r="H124" s="45" t="str">
        <f>IF(Projects!H133&lt;&gt;"",Projects!H133,"")</f>
        <v/>
      </c>
      <c r="I124" s="45" t="str">
        <f>IF(Projects!I133&lt;&gt;"",Projects!I133,"")</f>
        <v/>
      </c>
      <c r="J124" s="45" t="str">
        <f>IF(Projects!J133&lt;&gt;"",Projects!J133,"")</f>
        <v/>
      </c>
      <c r="K124" s="45" t="str">
        <f>IF(Projects!K133&lt;&gt;"",Projects!K133,"")</f>
        <v/>
      </c>
      <c r="L124" t="str">
        <f>IF(AND(Projects!E133&lt;&gt;"", Projects!F133&lt;&gt;""),
INDEX('Duration Table'!$D$7:$H$17,MATCH(Projects!E133,'Duration Table'!$C$7:$C$17,0),MATCH(Projects!F133,'Duration Table'!$D$6:$H$6)),
   ""
)</f>
        <v/>
      </c>
      <c r="M124" s="45" t="str" cm="1">
        <f t="array" ref="M124">_xlfn.IFS(
    G124&lt;&gt;"",G124,
    H124&lt;&gt;"",EDATE(H124,-0.25*L124),
    N124&lt;&gt;"",EDATE(N124,-0.25*L124),
    TRUE,""
)</f>
        <v/>
      </c>
      <c r="N124" s="45" t="str" cm="1">
        <f t="array" ref="N124">_xlfn.IFS(
    H124&lt;&gt;"", H124,
    COUNT(G124,I124)=2, (G124 + (DATEDIF(G124,I124,"d")*0.5)),
    COUNT(G124,J124)=2, (G124 + (DATEDIF(G124,J124,"d")*0.25)),
    COUNT(G124,K124)=2, (G124 + ((DATEDIF(G124,K124,"d")-90)*0.25)),
    COUNT(I124,J124)=2, (I124 -(DATEDIF(I124,J124,"d")*0.5)),
    COUNT(I124,K124)=2, (I124 -((DATEDIF(I124,K124,"d")-90)*0.5)),
    G124&lt;&gt;"", EDATE(G124, + L124*0.25),
    I124&lt;&gt;"", EDATE(I124, - L124*0.25),
    J124&lt;&gt;"", EDATE(J124, - L124*0.75),
    K124&lt;&gt;"", EDATE(K124, -((L124*0.75)+3)),
    TRUE, ""
)</f>
        <v/>
      </c>
      <c r="O124" s="45" t="str" cm="1">
        <f t="array" ref="O124">_xlfn.IFS(
    I124&lt;&gt;"", I124,
    COUNT(H124,J124)=2, (H124 + (DATEDIF(H124,J124,"d")*0.33)),
    COUNT(H124,K124)=2, (H124 + ((DATEDIF(H124,K124,"d")-90)*0.33)),
    COUNT(G124,J124)=2, (G124 +  DATEDIF(G124,J124,"d")*0.5),
    COUNT(G124,K124)=2, (G124 + (DATEDIF(G124,K124,"d")-90)*0.5),
    G124&lt;&gt;"", EDATE(G124, + L124*0.5),
    H124&lt;&gt;"", EDATE(H124, + L124*0.25),
    J124&lt;&gt;"", EDATE(J124, - L124*0.5),
    K124&lt;&gt;"", EDATE(K124, -((L124*0.5)+3)),
    TRUE, ""
)</f>
        <v/>
      </c>
      <c r="P124" s="45" t="str" cm="1">
        <f t="array" ref="P124">_xlfn.IFS(
    J124&lt;&gt;"", J124,
    K124&lt;&gt;"", EDATE(K124, -3),
    G124&lt;&gt;"", EDATE(G124, + L124),
    H124&lt;&gt;"", EDATE(H124, + L124*0.75),
    I124&lt;&gt;"", EDATE(I124, H L124*0.5),
    TRUE, ""
)</f>
        <v/>
      </c>
      <c r="Q124" s="45" t="str" cm="1">
        <f t="array" ref="Q124">_xlfn.IFS(
    K124&lt;&gt;"",K124,
    J124&lt;&gt;"",EDATE(J124,3),
    P124&lt;&gt;"",EDATE(P124,3),
    TRUE,""
)</f>
        <v/>
      </c>
    </row>
    <row r="125" spans="1:17" x14ac:dyDescent="0.3">
      <c r="A125" t="str">
        <f>IF(AND(Projects!A134="", Projects!B134=""), "", IF(Projects!A134="", "Unassigned", Projects!A134))</f>
        <v/>
      </c>
      <c r="B125" t="str">
        <f>IF(Projects!B134&lt;&gt;"",Projects!B134,"")</f>
        <v/>
      </c>
      <c r="C125" t="str">
        <f>IF(AND(Projects!C134="", Projects!B134=""), "", IF(Projects!C134="", "None", Projects!C134))</f>
        <v/>
      </c>
      <c r="D125" t="str">
        <f>IF(AND(Projects!D134="", Projects!B134=""), "", IF(Projects!D134="", "No OpCo", Projects!D134))</f>
        <v/>
      </c>
      <c r="E125" t="str">
        <f>IF(Projects!E134&lt;&gt;"",Projects!E134,"")</f>
        <v/>
      </c>
      <c r="F125" t="str">
        <f>IF(Projects!F134&lt;&gt;"",Projects!F134,"")</f>
        <v/>
      </c>
      <c r="G125" s="45" t="str">
        <f>IF(Projects!G134&lt;&gt;"",Projects!G134,"")</f>
        <v/>
      </c>
      <c r="H125" s="45" t="str">
        <f>IF(Projects!H134&lt;&gt;"",Projects!H134,"")</f>
        <v/>
      </c>
      <c r="I125" s="45" t="str">
        <f>IF(Projects!I134&lt;&gt;"",Projects!I134,"")</f>
        <v/>
      </c>
      <c r="J125" s="45" t="str">
        <f>IF(Projects!J134&lt;&gt;"",Projects!J134,"")</f>
        <v/>
      </c>
      <c r="K125" s="45" t="str">
        <f>IF(Projects!K134&lt;&gt;"",Projects!K134,"")</f>
        <v/>
      </c>
      <c r="L125" t="str">
        <f>IF(AND(Projects!E134&lt;&gt;"", Projects!F134&lt;&gt;""),
INDEX('Duration Table'!$D$7:$H$17,MATCH(Projects!E134,'Duration Table'!$C$7:$C$17,0),MATCH(Projects!F134,'Duration Table'!$D$6:$H$6)),
   ""
)</f>
        <v/>
      </c>
      <c r="M125" s="45" t="str" cm="1">
        <f t="array" ref="M125">_xlfn.IFS(
    G125&lt;&gt;"",G125,
    H125&lt;&gt;"",EDATE(H125,-0.25*L125),
    N125&lt;&gt;"",EDATE(N125,-0.25*L125),
    TRUE,""
)</f>
        <v/>
      </c>
      <c r="N125" s="45" t="str" cm="1">
        <f t="array" ref="N125">_xlfn.IFS(
    H125&lt;&gt;"", H125,
    COUNT(G125,I125)=2, (G125 + (DATEDIF(G125,I125,"d")*0.5)),
    COUNT(G125,J125)=2, (G125 + (DATEDIF(G125,J125,"d")*0.25)),
    COUNT(G125,K125)=2, (G125 + ((DATEDIF(G125,K125,"d")-90)*0.25)),
    COUNT(I125,J125)=2, (I125 -(DATEDIF(I125,J125,"d")*0.5)),
    COUNT(I125,K125)=2, (I125 -((DATEDIF(I125,K125,"d")-90)*0.5)),
    G125&lt;&gt;"", EDATE(G125, + L125*0.25),
    I125&lt;&gt;"", EDATE(I125, - L125*0.25),
    J125&lt;&gt;"", EDATE(J125, - L125*0.75),
    K125&lt;&gt;"", EDATE(K125, -((L125*0.75)+3)),
    TRUE, ""
)</f>
        <v/>
      </c>
      <c r="O125" s="45" t="str" cm="1">
        <f t="array" ref="O125">_xlfn.IFS(
    I125&lt;&gt;"", I125,
    COUNT(H125,J125)=2, (H125 + (DATEDIF(H125,J125,"d")*0.33)),
    COUNT(H125,K125)=2, (H125 + ((DATEDIF(H125,K125,"d")-90)*0.33)),
    COUNT(G125,J125)=2, (G125 +  DATEDIF(G125,J125,"d")*0.5),
    COUNT(G125,K125)=2, (G125 + (DATEDIF(G125,K125,"d")-90)*0.5),
    G125&lt;&gt;"", EDATE(G125, + L125*0.5),
    H125&lt;&gt;"", EDATE(H125, + L125*0.25),
    J125&lt;&gt;"", EDATE(J125, - L125*0.5),
    K125&lt;&gt;"", EDATE(K125, -((L125*0.5)+3)),
    TRUE, ""
)</f>
        <v/>
      </c>
      <c r="P125" s="45" t="str" cm="1">
        <f t="array" ref="P125">_xlfn.IFS(
    J125&lt;&gt;"", J125,
    K125&lt;&gt;"", EDATE(K125, -3),
    G125&lt;&gt;"", EDATE(G125, + L125),
    H125&lt;&gt;"", EDATE(H125, + L125*0.75),
    I125&lt;&gt;"", EDATE(I125, H L125*0.5),
    TRUE, ""
)</f>
        <v/>
      </c>
      <c r="Q125" s="45" t="str" cm="1">
        <f t="array" ref="Q125">_xlfn.IFS(
    K125&lt;&gt;"",K125,
    J125&lt;&gt;"",EDATE(J125,3),
    P125&lt;&gt;"",EDATE(P125,3),
    TRUE,""
)</f>
        <v/>
      </c>
    </row>
    <row r="126" spans="1:17" x14ac:dyDescent="0.3">
      <c r="A126" t="str">
        <f>IF(AND(Projects!A135="", Projects!B135=""), "", IF(Projects!A135="", "Unassigned", Projects!A135))</f>
        <v/>
      </c>
      <c r="B126" t="str">
        <f>IF(Projects!B135&lt;&gt;"",Projects!B135,"")</f>
        <v/>
      </c>
      <c r="C126" t="str">
        <f>IF(AND(Projects!C135="", Projects!B135=""), "", IF(Projects!C135="", "None", Projects!C135))</f>
        <v/>
      </c>
      <c r="D126" t="str">
        <f>IF(AND(Projects!D135="", Projects!B135=""), "", IF(Projects!D135="", "No OpCo", Projects!D135))</f>
        <v/>
      </c>
      <c r="E126" t="str">
        <f>IF(Projects!E135&lt;&gt;"",Projects!E135,"")</f>
        <v/>
      </c>
      <c r="F126" t="str">
        <f>IF(Projects!F135&lt;&gt;"",Projects!F135,"")</f>
        <v/>
      </c>
      <c r="G126" s="45" t="str">
        <f>IF(Projects!G135&lt;&gt;"",Projects!G135,"")</f>
        <v/>
      </c>
      <c r="H126" s="45" t="str">
        <f>IF(Projects!H135&lt;&gt;"",Projects!H135,"")</f>
        <v/>
      </c>
      <c r="I126" s="45" t="str">
        <f>IF(Projects!I135&lt;&gt;"",Projects!I135,"")</f>
        <v/>
      </c>
      <c r="J126" s="45" t="str">
        <f>IF(Projects!J135&lt;&gt;"",Projects!J135,"")</f>
        <v/>
      </c>
      <c r="K126" s="45" t="str">
        <f>IF(Projects!K135&lt;&gt;"",Projects!K135,"")</f>
        <v/>
      </c>
      <c r="L126" t="str">
        <f>IF(AND(Projects!E135&lt;&gt;"", Projects!F135&lt;&gt;""),
INDEX('Duration Table'!$D$7:$H$17,MATCH(Projects!E135,'Duration Table'!$C$7:$C$17,0),MATCH(Projects!F135,'Duration Table'!$D$6:$H$6)),
   ""
)</f>
        <v/>
      </c>
      <c r="M126" s="45" t="str" cm="1">
        <f t="array" ref="M126">_xlfn.IFS(
    G126&lt;&gt;"",G126,
    H126&lt;&gt;"",EDATE(H126,-0.25*L126),
    N126&lt;&gt;"",EDATE(N126,-0.25*L126),
    TRUE,""
)</f>
        <v/>
      </c>
      <c r="N126" s="45" t="str" cm="1">
        <f t="array" ref="N126">_xlfn.IFS(
    H126&lt;&gt;"", H126,
    COUNT(G126,I126)=2, (G126 + (DATEDIF(G126,I126,"d")*0.5)),
    COUNT(G126,J126)=2, (G126 + (DATEDIF(G126,J126,"d")*0.25)),
    COUNT(G126,K126)=2, (G126 + ((DATEDIF(G126,K126,"d")-90)*0.25)),
    COUNT(I126,J126)=2, (I126 -(DATEDIF(I126,J126,"d")*0.5)),
    COUNT(I126,K126)=2, (I126 -((DATEDIF(I126,K126,"d")-90)*0.5)),
    G126&lt;&gt;"", EDATE(G126, + L126*0.25),
    I126&lt;&gt;"", EDATE(I126, - L126*0.25),
    J126&lt;&gt;"", EDATE(J126, - L126*0.75),
    K126&lt;&gt;"", EDATE(K126, -((L126*0.75)+3)),
    TRUE, ""
)</f>
        <v/>
      </c>
      <c r="O126" s="45" t="str" cm="1">
        <f t="array" ref="O126">_xlfn.IFS(
    I126&lt;&gt;"", I126,
    COUNT(H126,J126)=2, (H126 + (DATEDIF(H126,J126,"d")*0.33)),
    COUNT(H126,K126)=2, (H126 + ((DATEDIF(H126,K126,"d")-90)*0.33)),
    COUNT(G126,J126)=2, (G126 +  DATEDIF(G126,J126,"d")*0.5),
    COUNT(G126,K126)=2, (G126 + (DATEDIF(G126,K126,"d")-90)*0.5),
    G126&lt;&gt;"", EDATE(G126, + L126*0.5),
    H126&lt;&gt;"", EDATE(H126, + L126*0.25),
    J126&lt;&gt;"", EDATE(J126, - L126*0.5),
    K126&lt;&gt;"", EDATE(K126, -((L126*0.5)+3)),
    TRUE, ""
)</f>
        <v/>
      </c>
      <c r="P126" s="45" t="str" cm="1">
        <f t="array" ref="P126">_xlfn.IFS(
    J126&lt;&gt;"", J126,
    K126&lt;&gt;"", EDATE(K126, -3),
    G126&lt;&gt;"", EDATE(G126, + L126),
    H126&lt;&gt;"", EDATE(H126, + L126*0.75),
    I126&lt;&gt;"", EDATE(I126, H L126*0.5),
    TRUE, ""
)</f>
        <v/>
      </c>
      <c r="Q126" s="45" t="str" cm="1">
        <f t="array" ref="Q126">_xlfn.IFS(
    K126&lt;&gt;"",K126,
    J126&lt;&gt;"",EDATE(J126,3),
    P126&lt;&gt;"",EDATE(P126,3),
    TRUE,""
)</f>
        <v/>
      </c>
    </row>
    <row r="127" spans="1:17" x14ac:dyDescent="0.3">
      <c r="A127" t="str">
        <f>IF(AND(Projects!A136="", Projects!B136=""), "", IF(Projects!A136="", "Unassigned", Projects!A136))</f>
        <v/>
      </c>
      <c r="B127" t="str">
        <f>IF(Projects!B136&lt;&gt;"",Projects!B136,"")</f>
        <v/>
      </c>
      <c r="C127" t="str">
        <f>IF(AND(Projects!C136="", Projects!B136=""), "", IF(Projects!C136="", "None", Projects!C136))</f>
        <v/>
      </c>
      <c r="D127" t="str">
        <f>IF(AND(Projects!D136="", Projects!B136=""), "", IF(Projects!D136="", "No OpCo", Projects!D136))</f>
        <v/>
      </c>
      <c r="E127" t="str">
        <f>IF(Projects!E136&lt;&gt;"",Projects!E136,"")</f>
        <v/>
      </c>
      <c r="F127" t="str">
        <f>IF(Projects!F136&lt;&gt;"",Projects!F136,"")</f>
        <v/>
      </c>
      <c r="G127" s="45" t="str">
        <f>IF(Projects!G136&lt;&gt;"",Projects!G136,"")</f>
        <v/>
      </c>
      <c r="H127" s="45" t="str">
        <f>IF(Projects!H136&lt;&gt;"",Projects!H136,"")</f>
        <v/>
      </c>
      <c r="I127" s="45" t="str">
        <f>IF(Projects!I136&lt;&gt;"",Projects!I136,"")</f>
        <v/>
      </c>
      <c r="J127" s="45" t="str">
        <f>IF(Projects!J136&lt;&gt;"",Projects!J136,"")</f>
        <v/>
      </c>
      <c r="K127" s="45" t="str">
        <f>IF(Projects!K136&lt;&gt;"",Projects!K136,"")</f>
        <v/>
      </c>
      <c r="L127" t="str">
        <f>IF(AND(Projects!E136&lt;&gt;"", Projects!F136&lt;&gt;""),
INDEX('Duration Table'!$D$7:$H$17,MATCH(Projects!E136,'Duration Table'!$C$7:$C$17,0),MATCH(Projects!F136,'Duration Table'!$D$6:$H$6)),
   ""
)</f>
        <v/>
      </c>
      <c r="M127" s="45" t="str" cm="1">
        <f t="array" ref="M127">_xlfn.IFS(
    G127&lt;&gt;"",G127,
    H127&lt;&gt;"",EDATE(H127,-0.25*L127),
    N127&lt;&gt;"",EDATE(N127,-0.25*L127),
    TRUE,""
)</f>
        <v/>
      </c>
      <c r="N127" s="45" t="str" cm="1">
        <f t="array" ref="N127">_xlfn.IFS(
    H127&lt;&gt;"", H127,
    COUNT(G127,I127)=2, (G127 + (DATEDIF(G127,I127,"d")*0.5)),
    COUNT(G127,J127)=2, (G127 + (DATEDIF(G127,J127,"d")*0.25)),
    COUNT(G127,K127)=2, (G127 + ((DATEDIF(G127,K127,"d")-90)*0.25)),
    COUNT(I127,J127)=2, (I127 -(DATEDIF(I127,J127,"d")*0.5)),
    COUNT(I127,K127)=2, (I127 -((DATEDIF(I127,K127,"d")-90)*0.5)),
    G127&lt;&gt;"", EDATE(G127, + L127*0.25),
    I127&lt;&gt;"", EDATE(I127, - L127*0.25),
    J127&lt;&gt;"", EDATE(J127, - L127*0.75),
    K127&lt;&gt;"", EDATE(K127, -((L127*0.75)+3)),
    TRUE, ""
)</f>
        <v/>
      </c>
      <c r="O127" s="45" t="str" cm="1">
        <f t="array" ref="O127">_xlfn.IFS(
    I127&lt;&gt;"", I127,
    COUNT(H127,J127)=2, (H127 + (DATEDIF(H127,J127,"d")*0.33)),
    COUNT(H127,K127)=2, (H127 + ((DATEDIF(H127,K127,"d")-90)*0.33)),
    COUNT(G127,J127)=2, (G127 +  DATEDIF(G127,J127,"d")*0.5),
    COUNT(G127,K127)=2, (G127 + (DATEDIF(G127,K127,"d")-90)*0.5),
    G127&lt;&gt;"", EDATE(G127, + L127*0.5),
    H127&lt;&gt;"", EDATE(H127, + L127*0.25),
    J127&lt;&gt;"", EDATE(J127, - L127*0.5),
    K127&lt;&gt;"", EDATE(K127, -((L127*0.5)+3)),
    TRUE, ""
)</f>
        <v/>
      </c>
      <c r="P127" s="45" t="str" cm="1">
        <f t="array" ref="P127">_xlfn.IFS(
    J127&lt;&gt;"", J127,
    K127&lt;&gt;"", EDATE(K127, -3),
    G127&lt;&gt;"", EDATE(G127, + L127),
    H127&lt;&gt;"", EDATE(H127, + L127*0.75),
    I127&lt;&gt;"", EDATE(I127, H L127*0.5),
    TRUE, ""
)</f>
        <v/>
      </c>
      <c r="Q127" s="45" t="str" cm="1">
        <f t="array" ref="Q127">_xlfn.IFS(
    K127&lt;&gt;"",K127,
    J127&lt;&gt;"",EDATE(J127,3),
    P127&lt;&gt;"",EDATE(P127,3),
    TRUE,""
)</f>
        <v/>
      </c>
    </row>
    <row r="128" spans="1:17" x14ac:dyDescent="0.3">
      <c r="A128" t="str">
        <f>IF(AND(Projects!A137="", Projects!B137=""), "", IF(Projects!A137="", "Unassigned", Projects!A137))</f>
        <v/>
      </c>
      <c r="B128" t="str">
        <f>IF(Projects!B137&lt;&gt;"",Projects!B137,"")</f>
        <v/>
      </c>
      <c r="C128" t="str">
        <f>IF(AND(Projects!C137="", Projects!B137=""), "", IF(Projects!C137="", "None", Projects!C137))</f>
        <v/>
      </c>
      <c r="D128" t="str">
        <f>IF(AND(Projects!D137="", Projects!B137=""), "", IF(Projects!D137="", "No OpCo", Projects!D137))</f>
        <v/>
      </c>
      <c r="E128" t="str">
        <f>IF(Projects!E137&lt;&gt;"",Projects!E137,"")</f>
        <v/>
      </c>
      <c r="F128" t="str">
        <f>IF(Projects!F137&lt;&gt;"",Projects!F137,"")</f>
        <v/>
      </c>
      <c r="G128" s="45" t="str">
        <f>IF(Projects!G137&lt;&gt;"",Projects!G137,"")</f>
        <v/>
      </c>
      <c r="H128" s="45" t="str">
        <f>IF(Projects!H137&lt;&gt;"",Projects!H137,"")</f>
        <v/>
      </c>
      <c r="I128" s="45" t="str">
        <f>IF(Projects!I137&lt;&gt;"",Projects!I137,"")</f>
        <v/>
      </c>
      <c r="J128" s="45" t="str">
        <f>IF(Projects!J137&lt;&gt;"",Projects!J137,"")</f>
        <v/>
      </c>
      <c r="K128" s="45" t="str">
        <f>IF(Projects!K137&lt;&gt;"",Projects!K137,"")</f>
        <v/>
      </c>
      <c r="L128" t="str">
        <f>IF(AND(Projects!E137&lt;&gt;"", Projects!F137&lt;&gt;""),
INDEX('Duration Table'!$D$7:$H$17,MATCH(Projects!E137,'Duration Table'!$C$7:$C$17,0),MATCH(Projects!F137,'Duration Table'!$D$6:$H$6)),
   ""
)</f>
        <v/>
      </c>
      <c r="M128" s="45" t="str" cm="1">
        <f t="array" ref="M128">_xlfn.IFS(
    G128&lt;&gt;"",G128,
    H128&lt;&gt;"",EDATE(H128,-0.25*L128),
    N128&lt;&gt;"",EDATE(N128,-0.25*L128),
    TRUE,""
)</f>
        <v/>
      </c>
      <c r="N128" s="45" t="str" cm="1">
        <f t="array" ref="N128">_xlfn.IFS(
    H128&lt;&gt;"", H128,
    COUNT(G128,I128)=2, (G128 + (DATEDIF(G128,I128,"d")*0.5)),
    COUNT(G128,J128)=2, (G128 + (DATEDIF(G128,J128,"d")*0.25)),
    COUNT(G128,K128)=2, (G128 + ((DATEDIF(G128,K128,"d")-90)*0.25)),
    COUNT(I128,J128)=2, (I128 -(DATEDIF(I128,J128,"d")*0.5)),
    COUNT(I128,K128)=2, (I128 -((DATEDIF(I128,K128,"d")-90)*0.5)),
    G128&lt;&gt;"", EDATE(G128, + L128*0.25),
    I128&lt;&gt;"", EDATE(I128, - L128*0.25),
    J128&lt;&gt;"", EDATE(J128, - L128*0.75),
    K128&lt;&gt;"", EDATE(K128, -((L128*0.75)+3)),
    TRUE, ""
)</f>
        <v/>
      </c>
      <c r="O128" s="45" t="str" cm="1">
        <f t="array" ref="O128">_xlfn.IFS(
    I128&lt;&gt;"", I128,
    COUNT(H128,J128)=2, (H128 + (DATEDIF(H128,J128,"d")*0.33)),
    COUNT(H128,K128)=2, (H128 + ((DATEDIF(H128,K128,"d")-90)*0.33)),
    COUNT(G128,J128)=2, (G128 +  DATEDIF(G128,J128,"d")*0.5),
    COUNT(G128,K128)=2, (G128 + (DATEDIF(G128,K128,"d")-90)*0.5),
    G128&lt;&gt;"", EDATE(G128, + L128*0.5),
    H128&lt;&gt;"", EDATE(H128, + L128*0.25),
    J128&lt;&gt;"", EDATE(J128, - L128*0.5),
    K128&lt;&gt;"", EDATE(K128, -((L128*0.5)+3)),
    TRUE, ""
)</f>
        <v/>
      </c>
      <c r="P128" s="45" t="str" cm="1">
        <f t="array" ref="P128">_xlfn.IFS(
    J128&lt;&gt;"", J128,
    K128&lt;&gt;"", EDATE(K128, -3),
    G128&lt;&gt;"", EDATE(G128, + L128),
    H128&lt;&gt;"", EDATE(H128, + L128*0.75),
    I128&lt;&gt;"", EDATE(I128, H L128*0.5),
    TRUE, ""
)</f>
        <v/>
      </c>
      <c r="Q128" s="45" t="str" cm="1">
        <f t="array" ref="Q128">_xlfn.IFS(
    K128&lt;&gt;"",K128,
    J128&lt;&gt;"",EDATE(J128,3),
    P128&lt;&gt;"",EDATE(P128,3),
    TRUE,""
)</f>
        <v/>
      </c>
    </row>
    <row r="129" spans="1:17" x14ac:dyDescent="0.3">
      <c r="A129" t="str">
        <f>IF(AND(Projects!A138="", Projects!B138=""), "", IF(Projects!A138="", "Unassigned", Projects!A138))</f>
        <v/>
      </c>
      <c r="B129" t="str">
        <f>IF(Projects!B138&lt;&gt;"",Projects!B138,"")</f>
        <v/>
      </c>
      <c r="C129" t="str">
        <f>IF(AND(Projects!C138="", Projects!B138=""), "", IF(Projects!C138="", "None", Projects!C138))</f>
        <v/>
      </c>
      <c r="D129" t="str">
        <f>IF(AND(Projects!D138="", Projects!B138=""), "", IF(Projects!D138="", "No OpCo", Projects!D138))</f>
        <v/>
      </c>
      <c r="E129" t="str">
        <f>IF(Projects!E138&lt;&gt;"",Projects!E138,"")</f>
        <v/>
      </c>
      <c r="F129" t="str">
        <f>IF(Projects!F138&lt;&gt;"",Projects!F138,"")</f>
        <v/>
      </c>
      <c r="G129" s="45" t="str">
        <f>IF(Projects!G138&lt;&gt;"",Projects!G138,"")</f>
        <v/>
      </c>
      <c r="H129" s="45" t="str">
        <f>IF(Projects!H138&lt;&gt;"",Projects!H138,"")</f>
        <v/>
      </c>
      <c r="I129" s="45" t="str">
        <f>IF(Projects!I138&lt;&gt;"",Projects!I138,"")</f>
        <v/>
      </c>
      <c r="J129" s="45" t="str">
        <f>IF(Projects!J138&lt;&gt;"",Projects!J138,"")</f>
        <v/>
      </c>
      <c r="K129" s="45" t="str">
        <f>IF(Projects!K138&lt;&gt;"",Projects!K138,"")</f>
        <v/>
      </c>
      <c r="L129" t="str">
        <f>IF(AND(Projects!E138&lt;&gt;"", Projects!F138&lt;&gt;""),
INDEX('Duration Table'!$D$7:$H$17,MATCH(Projects!E138,'Duration Table'!$C$7:$C$17,0),MATCH(Projects!F138,'Duration Table'!$D$6:$H$6)),
   ""
)</f>
        <v/>
      </c>
      <c r="M129" s="45" t="str" cm="1">
        <f t="array" ref="M129">_xlfn.IFS(
    G129&lt;&gt;"",G129,
    H129&lt;&gt;"",EDATE(H129,-0.25*L129),
    N129&lt;&gt;"",EDATE(N129,-0.25*L129),
    TRUE,""
)</f>
        <v/>
      </c>
      <c r="N129" s="45" t="str" cm="1">
        <f t="array" ref="N129">_xlfn.IFS(
    H129&lt;&gt;"", H129,
    COUNT(G129,I129)=2, (G129 + (DATEDIF(G129,I129,"d")*0.5)),
    COUNT(G129,J129)=2, (G129 + (DATEDIF(G129,J129,"d")*0.25)),
    COUNT(G129,K129)=2, (G129 + ((DATEDIF(G129,K129,"d")-90)*0.25)),
    COUNT(I129,J129)=2, (I129 -(DATEDIF(I129,J129,"d")*0.5)),
    COUNT(I129,K129)=2, (I129 -((DATEDIF(I129,K129,"d")-90)*0.5)),
    G129&lt;&gt;"", EDATE(G129, + L129*0.25),
    I129&lt;&gt;"", EDATE(I129, - L129*0.25),
    J129&lt;&gt;"", EDATE(J129, - L129*0.75),
    K129&lt;&gt;"", EDATE(K129, -((L129*0.75)+3)),
    TRUE, ""
)</f>
        <v/>
      </c>
      <c r="O129" s="45" t="str" cm="1">
        <f t="array" ref="O129">_xlfn.IFS(
    I129&lt;&gt;"", I129,
    COUNT(H129,J129)=2, (H129 + (DATEDIF(H129,J129,"d")*0.33)),
    COUNT(H129,K129)=2, (H129 + ((DATEDIF(H129,K129,"d")-90)*0.33)),
    COUNT(G129,J129)=2, (G129 +  DATEDIF(G129,J129,"d")*0.5),
    COUNT(G129,K129)=2, (G129 + (DATEDIF(G129,K129,"d")-90)*0.5),
    G129&lt;&gt;"", EDATE(G129, + L129*0.5),
    H129&lt;&gt;"", EDATE(H129, + L129*0.25),
    J129&lt;&gt;"", EDATE(J129, - L129*0.5),
    K129&lt;&gt;"", EDATE(K129, -((L129*0.5)+3)),
    TRUE, ""
)</f>
        <v/>
      </c>
      <c r="P129" s="45" t="str" cm="1">
        <f t="array" ref="P129">_xlfn.IFS(
    J129&lt;&gt;"", J129,
    K129&lt;&gt;"", EDATE(K129, -3),
    G129&lt;&gt;"", EDATE(G129, + L129),
    H129&lt;&gt;"", EDATE(H129, + L129*0.75),
    I129&lt;&gt;"", EDATE(I129, H L129*0.5),
    TRUE, ""
)</f>
        <v/>
      </c>
      <c r="Q129" s="45" t="str" cm="1">
        <f t="array" ref="Q129">_xlfn.IFS(
    K129&lt;&gt;"",K129,
    J129&lt;&gt;"",EDATE(J129,3),
    P129&lt;&gt;"",EDATE(P129,3),
    TRUE,""
)</f>
        <v/>
      </c>
    </row>
    <row r="130" spans="1:17" x14ac:dyDescent="0.3">
      <c r="A130" t="str">
        <f>IF(AND(Projects!A139="", Projects!B139=""), "", IF(Projects!A139="", "Unassigned", Projects!A139))</f>
        <v/>
      </c>
      <c r="B130" t="str">
        <f>IF(Projects!B139&lt;&gt;"",Projects!B139,"")</f>
        <v/>
      </c>
      <c r="C130" t="str">
        <f>IF(AND(Projects!C139="", Projects!B139=""), "", IF(Projects!C139="", "None", Projects!C139))</f>
        <v/>
      </c>
      <c r="D130" t="str">
        <f>IF(AND(Projects!D139="", Projects!B139=""), "", IF(Projects!D139="", "No OpCo", Projects!D139))</f>
        <v/>
      </c>
      <c r="E130" t="str">
        <f>IF(Projects!E139&lt;&gt;"",Projects!E139,"")</f>
        <v/>
      </c>
      <c r="F130" t="str">
        <f>IF(Projects!F139&lt;&gt;"",Projects!F139,"")</f>
        <v/>
      </c>
      <c r="G130" s="45" t="str">
        <f>IF(Projects!G139&lt;&gt;"",Projects!G139,"")</f>
        <v/>
      </c>
      <c r="H130" s="45" t="str">
        <f>IF(Projects!H139&lt;&gt;"",Projects!H139,"")</f>
        <v/>
      </c>
      <c r="I130" s="45" t="str">
        <f>IF(Projects!I139&lt;&gt;"",Projects!I139,"")</f>
        <v/>
      </c>
      <c r="J130" s="45" t="str">
        <f>IF(Projects!J139&lt;&gt;"",Projects!J139,"")</f>
        <v/>
      </c>
      <c r="K130" s="45" t="str">
        <f>IF(Projects!K139&lt;&gt;"",Projects!K139,"")</f>
        <v/>
      </c>
      <c r="L130" t="str">
        <f>IF(AND(Projects!E139&lt;&gt;"", Projects!F139&lt;&gt;""),
INDEX('Duration Table'!$D$7:$H$17,MATCH(Projects!E139,'Duration Table'!$C$7:$C$17,0),MATCH(Projects!F139,'Duration Table'!$D$6:$H$6)),
   ""
)</f>
        <v/>
      </c>
      <c r="M130" s="45" t="str" cm="1">
        <f t="array" ref="M130">_xlfn.IFS(
    G130&lt;&gt;"",G130,
    H130&lt;&gt;"",EDATE(H130,-0.25*L130),
    N130&lt;&gt;"",EDATE(N130,-0.25*L130),
    TRUE,""
)</f>
        <v/>
      </c>
      <c r="N130" s="45" t="str" cm="1">
        <f t="array" ref="N130">_xlfn.IFS(
    H130&lt;&gt;"", H130,
    COUNT(G130,I130)=2, (G130 + (DATEDIF(G130,I130,"d")*0.5)),
    COUNT(G130,J130)=2, (G130 + (DATEDIF(G130,J130,"d")*0.25)),
    COUNT(G130,K130)=2, (G130 + ((DATEDIF(G130,K130,"d")-90)*0.25)),
    COUNT(I130,J130)=2, (I130 -(DATEDIF(I130,J130,"d")*0.5)),
    COUNT(I130,K130)=2, (I130 -((DATEDIF(I130,K130,"d")-90)*0.5)),
    G130&lt;&gt;"", EDATE(G130, + L130*0.25),
    I130&lt;&gt;"", EDATE(I130, - L130*0.25),
    J130&lt;&gt;"", EDATE(J130, - L130*0.75),
    K130&lt;&gt;"", EDATE(K130, -((L130*0.75)+3)),
    TRUE, ""
)</f>
        <v/>
      </c>
      <c r="O130" s="45" t="str" cm="1">
        <f t="array" ref="O130">_xlfn.IFS(
    I130&lt;&gt;"", I130,
    COUNT(H130,J130)=2, (H130 + (DATEDIF(H130,J130,"d")*0.33)),
    COUNT(H130,K130)=2, (H130 + ((DATEDIF(H130,K130,"d")-90)*0.33)),
    COUNT(G130,J130)=2, (G130 +  DATEDIF(G130,J130,"d")*0.5),
    COUNT(G130,K130)=2, (G130 + (DATEDIF(G130,K130,"d")-90)*0.5),
    G130&lt;&gt;"", EDATE(G130, + L130*0.5),
    H130&lt;&gt;"", EDATE(H130, + L130*0.25),
    J130&lt;&gt;"", EDATE(J130, - L130*0.5),
    K130&lt;&gt;"", EDATE(K130, -((L130*0.5)+3)),
    TRUE, ""
)</f>
        <v/>
      </c>
      <c r="P130" s="45" t="str" cm="1">
        <f t="array" ref="P130">_xlfn.IFS(
    J130&lt;&gt;"", J130,
    K130&lt;&gt;"", EDATE(K130, -3),
    G130&lt;&gt;"", EDATE(G130, + L130),
    H130&lt;&gt;"", EDATE(H130, + L130*0.75),
    I130&lt;&gt;"", EDATE(I130, H L130*0.5),
    TRUE, ""
)</f>
        <v/>
      </c>
      <c r="Q130" s="45" t="str" cm="1">
        <f t="array" ref="Q130">_xlfn.IFS(
    K130&lt;&gt;"",K130,
    J130&lt;&gt;"",EDATE(J130,3),
    P130&lt;&gt;"",EDATE(P130,3),
    TRUE,""
)</f>
        <v/>
      </c>
    </row>
    <row r="131" spans="1:17" x14ac:dyDescent="0.3">
      <c r="A131" t="str">
        <f>IF(AND(Projects!A140="", Projects!B140=""), "", IF(Projects!A140="", "Unassigned", Projects!A140))</f>
        <v/>
      </c>
      <c r="B131" t="str">
        <f>IF(Projects!B140&lt;&gt;"",Projects!B140,"")</f>
        <v/>
      </c>
      <c r="C131" t="str">
        <f>IF(AND(Projects!C140="", Projects!B140=""), "", IF(Projects!C140="", "None", Projects!C140))</f>
        <v/>
      </c>
      <c r="D131" t="str">
        <f>IF(AND(Projects!D140="", Projects!B140=""), "", IF(Projects!D140="", "No OpCo", Projects!D140))</f>
        <v/>
      </c>
      <c r="E131" t="str">
        <f>IF(Projects!E140&lt;&gt;"",Projects!E140,"")</f>
        <v/>
      </c>
      <c r="F131" t="str">
        <f>IF(Projects!F140&lt;&gt;"",Projects!F140,"")</f>
        <v/>
      </c>
      <c r="G131" s="45" t="str">
        <f>IF(Projects!G140&lt;&gt;"",Projects!G140,"")</f>
        <v/>
      </c>
      <c r="H131" s="45" t="str">
        <f>IF(Projects!H140&lt;&gt;"",Projects!H140,"")</f>
        <v/>
      </c>
      <c r="I131" s="45" t="str">
        <f>IF(Projects!I140&lt;&gt;"",Projects!I140,"")</f>
        <v/>
      </c>
      <c r="J131" s="45" t="str">
        <f>IF(Projects!J140&lt;&gt;"",Projects!J140,"")</f>
        <v/>
      </c>
      <c r="K131" s="45" t="str">
        <f>IF(Projects!K140&lt;&gt;"",Projects!K140,"")</f>
        <v/>
      </c>
      <c r="L131" t="str">
        <f>IF(AND(Projects!E140&lt;&gt;"", Projects!F140&lt;&gt;""),
INDEX('Duration Table'!$D$7:$H$17,MATCH(Projects!E140,'Duration Table'!$C$7:$C$17,0),MATCH(Projects!F140,'Duration Table'!$D$6:$H$6)),
   ""
)</f>
        <v/>
      </c>
      <c r="M131" s="45" t="str" cm="1">
        <f t="array" ref="M131">_xlfn.IFS(
    G131&lt;&gt;"",G131,
    H131&lt;&gt;"",EDATE(H131,-0.25*L131),
    N131&lt;&gt;"",EDATE(N131,-0.25*L131),
    TRUE,""
)</f>
        <v/>
      </c>
      <c r="N131" s="45" t="str" cm="1">
        <f t="array" ref="N131">_xlfn.IFS(
    H131&lt;&gt;"", H131,
    COUNT(G131,I131)=2, (G131 + (DATEDIF(G131,I131,"d")*0.5)),
    COUNT(G131,J131)=2, (G131 + (DATEDIF(G131,J131,"d")*0.25)),
    COUNT(G131,K131)=2, (G131 + ((DATEDIF(G131,K131,"d")-90)*0.25)),
    COUNT(I131,J131)=2, (I131 -(DATEDIF(I131,J131,"d")*0.5)),
    COUNT(I131,K131)=2, (I131 -((DATEDIF(I131,K131,"d")-90)*0.5)),
    G131&lt;&gt;"", EDATE(G131, + L131*0.25),
    I131&lt;&gt;"", EDATE(I131, - L131*0.25),
    J131&lt;&gt;"", EDATE(J131, - L131*0.75),
    K131&lt;&gt;"", EDATE(K131, -((L131*0.75)+3)),
    TRUE, ""
)</f>
        <v/>
      </c>
      <c r="O131" s="45" t="str" cm="1">
        <f t="array" ref="O131">_xlfn.IFS(
    I131&lt;&gt;"", I131,
    COUNT(H131,J131)=2, (H131 + (DATEDIF(H131,J131,"d")*0.33)),
    COUNT(H131,K131)=2, (H131 + ((DATEDIF(H131,K131,"d")-90)*0.33)),
    COUNT(G131,J131)=2, (G131 +  DATEDIF(G131,J131,"d")*0.5),
    COUNT(G131,K131)=2, (G131 + (DATEDIF(G131,K131,"d")-90)*0.5),
    G131&lt;&gt;"", EDATE(G131, + L131*0.5),
    H131&lt;&gt;"", EDATE(H131, + L131*0.25),
    J131&lt;&gt;"", EDATE(J131, - L131*0.5),
    K131&lt;&gt;"", EDATE(K131, -((L131*0.5)+3)),
    TRUE, ""
)</f>
        <v/>
      </c>
      <c r="P131" s="45" t="str" cm="1">
        <f t="array" ref="P131">_xlfn.IFS(
    J131&lt;&gt;"", J131,
    K131&lt;&gt;"", EDATE(K131, -3),
    G131&lt;&gt;"", EDATE(G131, + L131),
    H131&lt;&gt;"", EDATE(H131, + L131*0.75),
    I131&lt;&gt;"", EDATE(I131, H L131*0.5),
    TRUE, ""
)</f>
        <v/>
      </c>
      <c r="Q131" s="45" t="str" cm="1">
        <f t="array" ref="Q131">_xlfn.IFS(
    K131&lt;&gt;"",K131,
    J131&lt;&gt;"",EDATE(J131,3),
    P131&lt;&gt;"",EDATE(P131,3),
    TRUE,""
)</f>
        <v/>
      </c>
    </row>
    <row r="132" spans="1:17" x14ac:dyDescent="0.3">
      <c r="A132" t="str">
        <f>IF(AND(Projects!A141="", Projects!B141=""), "", IF(Projects!A141="", "Unassigned", Projects!A141))</f>
        <v/>
      </c>
      <c r="B132" t="str">
        <f>IF(Projects!B141&lt;&gt;"",Projects!B141,"")</f>
        <v/>
      </c>
      <c r="C132" t="str">
        <f>IF(AND(Projects!C141="", Projects!B141=""), "", IF(Projects!C141="", "None", Projects!C141))</f>
        <v/>
      </c>
      <c r="D132" t="str">
        <f>IF(AND(Projects!D141="", Projects!B141=""), "", IF(Projects!D141="", "No OpCo", Projects!D141))</f>
        <v/>
      </c>
      <c r="E132" t="str">
        <f>IF(Projects!E141&lt;&gt;"",Projects!E141,"")</f>
        <v/>
      </c>
      <c r="F132" t="str">
        <f>IF(Projects!F141&lt;&gt;"",Projects!F141,"")</f>
        <v/>
      </c>
      <c r="G132" s="45" t="str">
        <f>IF(Projects!G141&lt;&gt;"",Projects!G141,"")</f>
        <v/>
      </c>
      <c r="H132" s="45" t="str">
        <f>IF(Projects!H141&lt;&gt;"",Projects!H141,"")</f>
        <v/>
      </c>
      <c r="I132" s="45" t="str">
        <f>IF(Projects!I141&lt;&gt;"",Projects!I141,"")</f>
        <v/>
      </c>
      <c r="J132" s="45" t="str">
        <f>IF(Projects!J141&lt;&gt;"",Projects!J141,"")</f>
        <v/>
      </c>
      <c r="K132" s="45" t="str">
        <f>IF(Projects!K141&lt;&gt;"",Projects!K141,"")</f>
        <v/>
      </c>
      <c r="L132" t="str">
        <f>IF(AND(Projects!E141&lt;&gt;"", Projects!F141&lt;&gt;""),
INDEX('Duration Table'!$D$7:$H$17,MATCH(Projects!E141,'Duration Table'!$C$7:$C$17,0),MATCH(Projects!F141,'Duration Table'!$D$6:$H$6)),
   ""
)</f>
        <v/>
      </c>
      <c r="M132" s="45" t="str" cm="1">
        <f t="array" ref="M132">_xlfn.IFS(
    G132&lt;&gt;"",G132,
    H132&lt;&gt;"",EDATE(H132,-0.25*L132),
    N132&lt;&gt;"",EDATE(N132,-0.25*L132),
    TRUE,""
)</f>
        <v/>
      </c>
      <c r="N132" s="45" t="str" cm="1">
        <f t="array" ref="N132">_xlfn.IFS(
    H132&lt;&gt;"", H132,
    COUNT(G132,I132)=2, (G132 + (DATEDIF(G132,I132,"d")*0.5)),
    COUNT(G132,J132)=2, (G132 + (DATEDIF(G132,J132,"d")*0.25)),
    COUNT(G132,K132)=2, (G132 + ((DATEDIF(G132,K132,"d")-90)*0.25)),
    COUNT(I132,J132)=2, (I132 -(DATEDIF(I132,J132,"d")*0.5)),
    COUNT(I132,K132)=2, (I132 -((DATEDIF(I132,K132,"d")-90)*0.5)),
    G132&lt;&gt;"", EDATE(G132, + L132*0.25),
    I132&lt;&gt;"", EDATE(I132, - L132*0.25),
    J132&lt;&gt;"", EDATE(J132, - L132*0.75),
    K132&lt;&gt;"", EDATE(K132, -((L132*0.75)+3)),
    TRUE, ""
)</f>
        <v/>
      </c>
      <c r="O132" s="45" t="str" cm="1">
        <f t="array" ref="O132">_xlfn.IFS(
    I132&lt;&gt;"", I132,
    COUNT(H132,J132)=2, (H132 + (DATEDIF(H132,J132,"d")*0.33)),
    COUNT(H132,K132)=2, (H132 + ((DATEDIF(H132,K132,"d")-90)*0.33)),
    COUNT(G132,J132)=2, (G132 +  DATEDIF(G132,J132,"d")*0.5),
    COUNT(G132,K132)=2, (G132 + (DATEDIF(G132,K132,"d")-90)*0.5),
    G132&lt;&gt;"", EDATE(G132, + L132*0.5),
    H132&lt;&gt;"", EDATE(H132, + L132*0.25),
    J132&lt;&gt;"", EDATE(J132, - L132*0.5),
    K132&lt;&gt;"", EDATE(K132, -((L132*0.5)+3)),
    TRUE, ""
)</f>
        <v/>
      </c>
      <c r="P132" s="45" t="str" cm="1">
        <f t="array" ref="P132">_xlfn.IFS(
    J132&lt;&gt;"", J132,
    K132&lt;&gt;"", EDATE(K132, -3),
    G132&lt;&gt;"", EDATE(G132, + L132),
    H132&lt;&gt;"", EDATE(H132, + L132*0.75),
    I132&lt;&gt;"", EDATE(I132, H L132*0.5),
    TRUE, ""
)</f>
        <v/>
      </c>
      <c r="Q132" s="45" t="str" cm="1">
        <f t="array" ref="Q132">_xlfn.IFS(
    K132&lt;&gt;"",K132,
    J132&lt;&gt;"",EDATE(J132,3),
    P132&lt;&gt;"",EDATE(P132,3),
    TRUE,""
)</f>
        <v/>
      </c>
    </row>
    <row r="133" spans="1:17" x14ac:dyDescent="0.3">
      <c r="A133" t="str">
        <f>IF(AND(Projects!A142="", Projects!B142=""), "", IF(Projects!A142="", "Unassigned", Projects!A142))</f>
        <v/>
      </c>
      <c r="B133" t="str">
        <f>IF(Projects!B142&lt;&gt;"",Projects!B142,"")</f>
        <v/>
      </c>
      <c r="C133" t="str">
        <f>IF(AND(Projects!C142="", Projects!B142=""), "", IF(Projects!C142="", "None", Projects!C142))</f>
        <v/>
      </c>
      <c r="D133" t="str">
        <f>IF(AND(Projects!D142="", Projects!B142=""), "", IF(Projects!D142="", "No OpCo", Projects!D142))</f>
        <v/>
      </c>
      <c r="E133" t="str">
        <f>IF(Projects!E142&lt;&gt;"",Projects!E142,"")</f>
        <v/>
      </c>
      <c r="F133" t="str">
        <f>IF(Projects!F142&lt;&gt;"",Projects!F142,"")</f>
        <v/>
      </c>
      <c r="G133" s="45" t="str">
        <f>IF(Projects!G142&lt;&gt;"",Projects!G142,"")</f>
        <v/>
      </c>
      <c r="H133" s="45" t="str">
        <f>IF(Projects!H142&lt;&gt;"",Projects!H142,"")</f>
        <v/>
      </c>
      <c r="I133" s="45" t="str">
        <f>IF(Projects!I142&lt;&gt;"",Projects!I142,"")</f>
        <v/>
      </c>
      <c r="J133" s="45" t="str">
        <f>IF(Projects!J142&lt;&gt;"",Projects!J142,"")</f>
        <v/>
      </c>
      <c r="K133" s="45" t="str">
        <f>IF(Projects!K142&lt;&gt;"",Projects!K142,"")</f>
        <v/>
      </c>
      <c r="L133" t="str">
        <f>IF(AND(Projects!E142&lt;&gt;"", Projects!F142&lt;&gt;""),
INDEX('Duration Table'!$D$7:$H$17,MATCH(Projects!E142,'Duration Table'!$C$7:$C$17,0),MATCH(Projects!F142,'Duration Table'!$D$6:$H$6)),
   ""
)</f>
        <v/>
      </c>
      <c r="M133" s="45" t="str" cm="1">
        <f t="array" ref="M133">_xlfn.IFS(
    G133&lt;&gt;"",G133,
    H133&lt;&gt;"",EDATE(H133,-0.25*L133),
    N133&lt;&gt;"",EDATE(N133,-0.25*L133),
    TRUE,""
)</f>
        <v/>
      </c>
      <c r="N133" s="45" t="str" cm="1">
        <f t="array" ref="N133">_xlfn.IFS(
    H133&lt;&gt;"", H133,
    COUNT(G133,I133)=2, (G133 + (DATEDIF(G133,I133,"d")*0.5)),
    COUNT(G133,J133)=2, (G133 + (DATEDIF(G133,J133,"d")*0.25)),
    COUNT(G133,K133)=2, (G133 + ((DATEDIF(G133,K133,"d")-90)*0.25)),
    COUNT(I133,J133)=2, (I133 -(DATEDIF(I133,J133,"d")*0.5)),
    COUNT(I133,K133)=2, (I133 -((DATEDIF(I133,K133,"d")-90)*0.5)),
    G133&lt;&gt;"", EDATE(G133, + L133*0.25),
    I133&lt;&gt;"", EDATE(I133, - L133*0.25),
    J133&lt;&gt;"", EDATE(J133, - L133*0.75),
    K133&lt;&gt;"", EDATE(K133, -((L133*0.75)+3)),
    TRUE, ""
)</f>
        <v/>
      </c>
      <c r="O133" s="45" t="str" cm="1">
        <f t="array" ref="O133">_xlfn.IFS(
    I133&lt;&gt;"", I133,
    COUNT(H133,J133)=2, (H133 + (DATEDIF(H133,J133,"d")*0.33)),
    COUNT(H133,K133)=2, (H133 + ((DATEDIF(H133,K133,"d")-90)*0.33)),
    COUNT(G133,J133)=2, (G133 +  DATEDIF(G133,J133,"d")*0.5),
    COUNT(G133,K133)=2, (G133 + (DATEDIF(G133,K133,"d")-90)*0.5),
    G133&lt;&gt;"", EDATE(G133, + L133*0.5),
    H133&lt;&gt;"", EDATE(H133, + L133*0.25),
    J133&lt;&gt;"", EDATE(J133, - L133*0.5),
    K133&lt;&gt;"", EDATE(K133, -((L133*0.5)+3)),
    TRUE, ""
)</f>
        <v/>
      </c>
      <c r="P133" s="45" t="str" cm="1">
        <f t="array" ref="P133">_xlfn.IFS(
    J133&lt;&gt;"", J133,
    K133&lt;&gt;"", EDATE(K133, -3),
    G133&lt;&gt;"", EDATE(G133, + L133),
    H133&lt;&gt;"", EDATE(H133, + L133*0.75),
    I133&lt;&gt;"", EDATE(I133, H L133*0.5),
    TRUE, ""
)</f>
        <v/>
      </c>
      <c r="Q133" s="45" t="str" cm="1">
        <f t="array" ref="Q133">_xlfn.IFS(
    K133&lt;&gt;"",K133,
    J133&lt;&gt;"",EDATE(J133,3),
    P133&lt;&gt;"",EDATE(P133,3),
    TRUE,""
)</f>
        <v/>
      </c>
    </row>
    <row r="134" spans="1:17" x14ac:dyDescent="0.3">
      <c r="A134" t="str">
        <f>IF(AND(Projects!A143="", Projects!B143=""), "", IF(Projects!A143="", "Unassigned", Projects!A143))</f>
        <v/>
      </c>
      <c r="B134" t="str">
        <f>IF(Projects!B143&lt;&gt;"",Projects!B143,"")</f>
        <v/>
      </c>
      <c r="C134" t="str">
        <f>IF(AND(Projects!C143="", Projects!B143=""), "", IF(Projects!C143="", "None", Projects!C143))</f>
        <v/>
      </c>
      <c r="D134" t="str">
        <f>IF(AND(Projects!D143="", Projects!B143=""), "", IF(Projects!D143="", "No OpCo", Projects!D143))</f>
        <v/>
      </c>
      <c r="E134" t="str">
        <f>IF(Projects!E143&lt;&gt;"",Projects!E143,"")</f>
        <v/>
      </c>
      <c r="F134" t="str">
        <f>IF(Projects!F143&lt;&gt;"",Projects!F143,"")</f>
        <v/>
      </c>
      <c r="G134" s="45" t="str">
        <f>IF(Projects!G143&lt;&gt;"",Projects!G143,"")</f>
        <v/>
      </c>
      <c r="H134" s="45" t="str">
        <f>IF(Projects!H143&lt;&gt;"",Projects!H143,"")</f>
        <v/>
      </c>
      <c r="I134" s="45" t="str">
        <f>IF(Projects!I143&lt;&gt;"",Projects!I143,"")</f>
        <v/>
      </c>
      <c r="J134" s="45" t="str">
        <f>IF(Projects!J143&lt;&gt;"",Projects!J143,"")</f>
        <v/>
      </c>
      <c r="K134" s="45" t="str">
        <f>IF(Projects!K143&lt;&gt;"",Projects!K143,"")</f>
        <v/>
      </c>
      <c r="L134" t="str">
        <f>IF(AND(Projects!E143&lt;&gt;"", Projects!F143&lt;&gt;""),
INDEX('Duration Table'!$D$7:$H$17,MATCH(Projects!E143,'Duration Table'!$C$7:$C$17,0),MATCH(Projects!F143,'Duration Table'!$D$6:$H$6)),
   ""
)</f>
        <v/>
      </c>
      <c r="M134" s="45" t="str" cm="1">
        <f t="array" ref="M134">_xlfn.IFS(
    G134&lt;&gt;"",G134,
    H134&lt;&gt;"",EDATE(H134,-0.25*L134),
    N134&lt;&gt;"",EDATE(N134,-0.25*L134),
    TRUE,""
)</f>
        <v/>
      </c>
      <c r="N134" s="45" t="str" cm="1">
        <f t="array" ref="N134">_xlfn.IFS(
    H134&lt;&gt;"", H134,
    COUNT(G134,I134)=2, (G134 + (DATEDIF(G134,I134,"d")*0.5)),
    COUNT(G134,J134)=2, (G134 + (DATEDIF(G134,J134,"d")*0.25)),
    COUNT(G134,K134)=2, (G134 + ((DATEDIF(G134,K134,"d")-90)*0.25)),
    COUNT(I134,J134)=2, (I134 -(DATEDIF(I134,J134,"d")*0.5)),
    COUNT(I134,K134)=2, (I134 -((DATEDIF(I134,K134,"d")-90)*0.5)),
    G134&lt;&gt;"", EDATE(G134, + L134*0.25),
    I134&lt;&gt;"", EDATE(I134, - L134*0.25),
    J134&lt;&gt;"", EDATE(J134, - L134*0.75),
    K134&lt;&gt;"", EDATE(K134, -((L134*0.75)+3)),
    TRUE, ""
)</f>
        <v/>
      </c>
      <c r="O134" s="45" t="str" cm="1">
        <f t="array" ref="O134">_xlfn.IFS(
    I134&lt;&gt;"", I134,
    COUNT(H134,J134)=2, (H134 + (DATEDIF(H134,J134,"d")*0.33)),
    COUNT(H134,K134)=2, (H134 + ((DATEDIF(H134,K134,"d")-90)*0.33)),
    COUNT(G134,J134)=2, (G134 +  DATEDIF(G134,J134,"d")*0.5),
    COUNT(G134,K134)=2, (G134 + (DATEDIF(G134,K134,"d")-90)*0.5),
    G134&lt;&gt;"", EDATE(G134, + L134*0.5),
    H134&lt;&gt;"", EDATE(H134, + L134*0.25),
    J134&lt;&gt;"", EDATE(J134, - L134*0.5),
    K134&lt;&gt;"", EDATE(K134, -((L134*0.5)+3)),
    TRUE, ""
)</f>
        <v/>
      </c>
      <c r="P134" s="45" t="str" cm="1">
        <f t="array" ref="P134">_xlfn.IFS(
    J134&lt;&gt;"", J134,
    K134&lt;&gt;"", EDATE(K134, -3),
    G134&lt;&gt;"", EDATE(G134, + L134),
    H134&lt;&gt;"", EDATE(H134, + L134*0.75),
    I134&lt;&gt;"", EDATE(I134, H L134*0.5),
    TRUE, ""
)</f>
        <v/>
      </c>
      <c r="Q134" s="45" t="str" cm="1">
        <f t="array" ref="Q134">_xlfn.IFS(
    K134&lt;&gt;"",K134,
    J134&lt;&gt;"",EDATE(J134,3),
    P134&lt;&gt;"",EDATE(P134,3),
    TRUE,""
)</f>
        <v/>
      </c>
    </row>
    <row r="135" spans="1:17" x14ac:dyDescent="0.3">
      <c r="A135" t="str">
        <f>IF(AND(Projects!A144="", Projects!B144=""), "", IF(Projects!A144="", "Unassigned", Projects!A144))</f>
        <v/>
      </c>
      <c r="B135" t="str">
        <f>IF(Projects!B144&lt;&gt;"",Projects!B144,"")</f>
        <v/>
      </c>
      <c r="C135" t="str">
        <f>IF(AND(Projects!C144="", Projects!B144=""), "", IF(Projects!C144="", "None", Projects!C144))</f>
        <v/>
      </c>
      <c r="D135" t="str">
        <f>IF(AND(Projects!D144="", Projects!B144=""), "", IF(Projects!D144="", "No OpCo", Projects!D144))</f>
        <v/>
      </c>
      <c r="E135" t="str">
        <f>IF(Projects!E144&lt;&gt;"",Projects!E144,"")</f>
        <v/>
      </c>
      <c r="F135" t="str">
        <f>IF(Projects!F144&lt;&gt;"",Projects!F144,"")</f>
        <v/>
      </c>
      <c r="G135" s="45" t="str">
        <f>IF(Projects!G144&lt;&gt;"",Projects!G144,"")</f>
        <v/>
      </c>
      <c r="H135" s="45" t="str">
        <f>IF(Projects!H144&lt;&gt;"",Projects!H144,"")</f>
        <v/>
      </c>
      <c r="I135" s="45" t="str">
        <f>IF(Projects!I144&lt;&gt;"",Projects!I144,"")</f>
        <v/>
      </c>
      <c r="J135" s="45" t="str">
        <f>IF(Projects!J144&lt;&gt;"",Projects!J144,"")</f>
        <v/>
      </c>
      <c r="K135" s="45" t="str">
        <f>IF(Projects!K144&lt;&gt;"",Projects!K144,"")</f>
        <v/>
      </c>
      <c r="L135" t="str">
        <f>IF(AND(Projects!E144&lt;&gt;"", Projects!F144&lt;&gt;""),
INDEX('Duration Table'!$D$7:$H$17,MATCH(Projects!E144,'Duration Table'!$C$7:$C$17,0),MATCH(Projects!F144,'Duration Table'!$D$6:$H$6)),
   ""
)</f>
        <v/>
      </c>
      <c r="M135" s="45" t="str" cm="1">
        <f t="array" ref="M135">_xlfn.IFS(
    G135&lt;&gt;"",G135,
    H135&lt;&gt;"",EDATE(H135,-0.25*L135),
    N135&lt;&gt;"",EDATE(N135,-0.25*L135),
    TRUE,""
)</f>
        <v/>
      </c>
      <c r="N135" s="45" t="str" cm="1">
        <f t="array" ref="N135">_xlfn.IFS(
    H135&lt;&gt;"", H135,
    COUNT(G135,I135)=2, (G135 + (DATEDIF(G135,I135,"d")*0.5)),
    COUNT(G135,J135)=2, (G135 + (DATEDIF(G135,J135,"d")*0.25)),
    COUNT(G135,K135)=2, (G135 + ((DATEDIF(G135,K135,"d")-90)*0.25)),
    COUNT(I135,J135)=2, (I135 -(DATEDIF(I135,J135,"d")*0.5)),
    COUNT(I135,K135)=2, (I135 -((DATEDIF(I135,K135,"d")-90)*0.5)),
    G135&lt;&gt;"", EDATE(G135, + L135*0.25),
    I135&lt;&gt;"", EDATE(I135, - L135*0.25),
    J135&lt;&gt;"", EDATE(J135, - L135*0.75),
    K135&lt;&gt;"", EDATE(K135, -((L135*0.75)+3)),
    TRUE, ""
)</f>
        <v/>
      </c>
      <c r="O135" s="45" t="str" cm="1">
        <f t="array" ref="O135">_xlfn.IFS(
    I135&lt;&gt;"", I135,
    COUNT(H135,J135)=2, (H135 + (DATEDIF(H135,J135,"d")*0.33)),
    COUNT(H135,K135)=2, (H135 + ((DATEDIF(H135,K135,"d")-90)*0.33)),
    COUNT(G135,J135)=2, (G135 +  DATEDIF(G135,J135,"d")*0.5),
    COUNT(G135,K135)=2, (G135 + (DATEDIF(G135,K135,"d")-90)*0.5),
    G135&lt;&gt;"", EDATE(G135, + L135*0.5),
    H135&lt;&gt;"", EDATE(H135, + L135*0.25),
    J135&lt;&gt;"", EDATE(J135, - L135*0.5),
    K135&lt;&gt;"", EDATE(K135, -((L135*0.5)+3)),
    TRUE, ""
)</f>
        <v/>
      </c>
      <c r="P135" s="45" t="str" cm="1">
        <f t="array" ref="P135">_xlfn.IFS(
    J135&lt;&gt;"", J135,
    K135&lt;&gt;"", EDATE(K135, -3),
    G135&lt;&gt;"", EDATE(G135, + L135),
    H135&lt;&gt;"", EDATE(H135, + L135*0.75),
    I135&lt;&gt;"", EDATE(I135, H L135*0.5),
    TRUE, ""
)</f>
        <v/>
      </c>
      <c r="Q135" s="45" t="str" cm="1">
        <f t="array" ref="Q135">_xlfn.IFS(
    K135&lt;&gt;"",K135,
    J135&lt;&gt;"",EDATE(J135,3),
    P135&lt;&gt;"",EDATE(P135,3),
    TRUE,""
)</f>
        <v/>
      </c>
    </row>
    <row r="136" spans="1:17" x14ac:dyDescent="0.3">
      <c r="A136" t="str">
        <f>IF(AND(Projects!A145="", Projects!B145=""), "", IF(Projects!A145="", "Unassigned", Projects!A145))</f>
        <v/>
      </c>
      <c r="B136" t="str">
        <f>IF(Projects!B145&lt;&gt;"",Projects!B145,"")</f>
        <v/>
      </c>
      <c r="C136" t="str">
        <f>IF(AND(Projects!C145="", Projects!B145=""), "", IF(Projects!C145="", "None", Projects!C145))</f>
        <v/>
      </c>
      <c r="D136" t="str">
        <f>IF(AND(Projects!D145="", Projects!B145=""), "", IF(Projects!D145="", "No OpCo", Projects!D145))</f>
        <v/>
      </c>
      <c r="E136" t="str">
        <f>IF(Projects!E145&lt;&gt;"",Projects!E145,"")</f>
        <v/>
      </c>
      <c r="F136" t="str">
        <f>IF(Projects!F145&lt;&gt;"",Projects!F145,"")</f>
        <v/>
      </c>
      <c r="G136" s="45" t="str">
        <f>IF(Projects!G145&lt;&gt;"",Projects!G145,"")</f>
        <v/>
      </c>
      <c r="H136" s="45" t="str">
        <f>IF(Projects!H145&lt;&gt;"",Projects!H145,"")</f>
        <v/>
      </c>
      <c r="I136" s="45" t="str">
        <f>IF(Projects!I145&lt;&gt;"",Projects!I145,"")</f>
        <v/>
      </c>
      <c r="J136" s="45" t="str">
        <f>IF(Projects!J145&lt;&gt;"",Projects!J145,"")</f>
        <v/>
      </c>
      <c r="K136" s="45" t="str">
        <f>IF(Projects!K145&lt;&gt;"",Projects!K145,"")</f>
        <v/>
      </c>
      <c r="L136" t="str">
        <f>IF(AND(Projects!E145&lt;&gt;"", Projects!F145&lt;&gt;""),
INDEX('Duration Table'!$D$7:$H$17,MATCH(Projects!E145,'Duration Table'!$C$7:$C$17,0),MATCH(Projects!F145,'Duration Table'!$D$6:$H$6)),
   ""
)</f>
        <v/>
      </c>
      <c r="M136" s="45" t="str" cm="1">
        <f t="array" ref="M136">_xlfn.IFS(
    G136&lt;&gt;"",G136,
    H136&lt;&gt;"",EDATE(H136,-0.25*L136),
    N136&lt;&gt;"",EDATE(N136,-0.25*L136),
    TRUE,""
)</f>
        <v/>
      </c>
      <c r="N136" s="45" t="str" cm="1">
        <f t="array" ref="N136">_xlfn.IFS(
    H136&lt;&gt;"", H136,
    COUNT(G136,I136)=2, (G136 + (DATEDIF(G136,I136,"d")*0.5)),
    COUNT(G136,J136)=2, (G136 + (DATEDIF(G136,J136,"d")*0.25)),
    COUNT(G136,K136)=2, (G136 + ((DATEDIF(G136,K136,"d")-90)*0.25)),
    COUNT(I136,J136)=2, (I136 -(DATEDIF(I136,J136,"d")*0.5)),
    COUNT(I136,K136)=2, (I136 -((DATEDIF(I136,K136,"d")-90)*0.5)),
    G136&lt;&gt;"", EDATE(G136, + L136*0.25),
    I136&lt;&gt;"", EDATE(I136, - L136*0.25),
    J136&lt;&gt;"", EDATE(J136, - L136*0.75),
    K136&lt;&gt;"", EDATE(K136, -((L136*0.75)+3)),
    TRUE, ""
)</f>
        <v/>
      </c>
      <c r="O136" s="45" t="str" cm="1">
        <f t="array" ref="O136">_xlfn.IFS(
    I136&lt;&gt;"", I136,
    COUNT(H136,J136)=2, (H136 + (DATEDIF(H136,J136,"d")*0.33)),
    COUNT(H136,K136)=2, (H136 + ((DATEDIF(H136,K136,"d")-90)*0.33)),
    COUNT(G136,J136)=2, (G136 +  DATEDIF(G136,J136,"d")*0.5),
    COUNT(G136,K136)=2, (G136 + (DATEDIF(G136,K136,"d")-90)*0.5),
    G136&lt;&gt;"", EDATE(G136, + L136*0.5),
    H136&lt;&gt;"", EDATE(H136, + L136*0.25),
    J136&lt;&gt;"", EDATE(J136, - L136*0.5),
    K136&lt;&gt;"", EDATE(K136, -((L136*0.5)+3)),
    TRUE, ""
)</f>
        <v/>
      </c>
      <c r="P136" s="45" t="str" cm="1">
        <f t="array" ref="P136">_xlfn.IFS(
    J136&lt;&gt;"", J136,
    K136&lt;&gt;"", EDATE(K136, -3),
    G136&lt;&gt;"", EDATE(G136, + L136),
    H136&lt;&gt;"", EDATE(H136, + L136*0.75),
    I136&lt;&gt;"", EDATE(I136, H L136*0.5),
    TRUE, ""
)</f>
        <v/>
      </c>
      <c r="Q136" s="45" t="str" cm="1">
        <f t="array" ref="Q136">_xlfn.IFS(
    K136&lt;&gt;"",K136,
    J136&lt;&gt;"",EDATE(J136,3),
    P136&lt;&gt;"",EDATE(P136,3),
    TRUE,""
)</f>
        <v/>
      </c>
    </row>
    <row r="137" spans="1:17" x14ac:dyDescent="0.3">
      <c r="A137" t="str">
        <f>IF(AND(Projects!A146="", Projects!B146=""), "", IF(Projects!A146="", "Unassigned", Projects!A146))</f>
        <v/>
      </c>
      <c r="B137" t="str">
        <f>IF(Projects!B146&lt;&gt;"",Projects!B146,"")</f>
        <v/>
      </c>
      <c r="C137" t="str">
        <f>IF(AND(Projects!C146="", Projects!B146=""), "", IF(Projects!C146="", "None", Projects!C146))</f>
        <v/>
      </c>
      <c r="D137" t="str">
        <f>IF(AND(Projects!D146="", Projects!B146=""), "", IF(Projects!D146="", "No OpCo", Projects!D146))</f>
        <v/>
      </c>
      <c r="E137" t="str">
        <f>IF(Projects!E146&lt;&gt;"",Projects!E146,"")</f>
        <v/>
      </c>
      <c r="F137" t="str">
        <f>IF(Projects!F146&lt;&gt;"",Projects!F146,"")</f>
        <v/>
      </c>
      <c r="G137" s="45" t="str">
        <f>IF(Projects!G146&lt;&gt;"",Projects!G146,"")</f>
        <v/>
      </c>
      <c r="H137" s="45" t="str">
        <f>IF(Projects!H146&lt;&gt;"",Projects!H146,"")</f>
        <v/>
      </c>
      <c r="I137" s="45" t="str">
        <f>IF(Projects!I146&lt;&gt;"",Projects!I146,"")</f>
        <v/>
      </c>
      <c r="J137" s="45" t="str">
        <f>IF(Projects!J146&lt;&gt;"",Projects!J146,"")</f>
        <v/>
      </c>
      <c r="K137" s="45" t="str">
        <f>IF(Projects!K146&lt;&gt;"",Projects!K146,"")</f>
        <v/>
      </c>
      <c r="L137" t="str">
        <f>IF(AND(Projects!E146&lt;&gt;"", Projects!F146&lt;&gt;""),
INDEX('Duration Table'!$D$7:$H$17,MATCH(Projects!E146,'Duration Table'!$C$7:$C$17,0),MATCH(Projects!F146,'Duration Table'!$D$6:$H$6)),
   ""
)</f>
        <v/>
      </c>
      <c r="M137" s="45" t="str" cm="1">
        <f t="array" ref="M137">_xlfn.IFS(
    G137&lt;&gt;"",G137,
    H137&lt;&gt;"",EDATE(H137,-0.25*L137),
    N137&lt;&gt;"",EDATE(N137,-0.25*L137),
    TRUE,""
)</f>
        <v/>
      </c>
      <c r="N137" s="45" t="str" cm="1">
        <f t="array" ref="N137">_xlfn.IFS(
    H137&lt;&gt;"", H137,
    COUNT(G137,I137)=2, (G137 + (DATEDIF(G137,I137,"d")*0.5)),
    COUNT(G137,J137)=2, (G137 + (DATEDIF(G137,J137,"d")*0.25)),
    COUNT(G137,K137)=2, (G137 + ((DATEDIF(G137,K137,"d")-90)*0.25)),
    COUNT(I137,J137)=2, (I137 -(DATEDIF(I137,J137,"d")*0.5)),
    COUNT(I137,K137)=2, (I137 -((DATEDIF(I137,K137,"d")-90)*0.5)),
    G137&lt;&gt;"", EDATE(G137, + L137*0.25),
    I137&lt;&gt;"", EDATE(I137, - L137*0.25),
    J137&lt;&gt;"", EDATE(J137, - L137*0.75),
    K137&lt;&gt;"", EDATE(K137, -((L137*0.75)+3)),
    TRUE, ""
)</f>
        <v/>
      </c>
      <c r="O137" s="45" t="str" cm="1">
        <f t="array" ref="O137">_xlfn.IFS(
    I137&lt;&gt;"", I137,
    COUNT(H137,J137)=2, (H137 + (DATEDIF(H137,J137,"d")*0.33)),
    COUNT(H137,K137)=2, (H137 + ((DATEDIF(H137,K137,"d")-90)*0.33)),
    COUNT(G137,J137)=2, (G137 +  DATEDIF(G137,J137,"d")*0.5),
    COUNT(G137,K137)=2, (G137 + (DATEDIF(G137,K137,"d")-90)*0.5),
    G137&lt;&gt;"", EDATE(G137, + L137*0.5),
    H137&lt;&gt;"", EDATE(H137, + L137*0.25),
    J137&lt;&gt;"", EDATE(J137, - L137*0.5),
    K137&lt;&gt;"", EDATE(K137, -((L137*0.5)+3)),
    TRUE, ""
)</f>
        <v/>
      </c>
      <c r="P137" s="45" t="str" cm="1">
        <f t="array" ref="P137">_xlfn.IFS(
    J137&lt;&gt;"", J137,
    K137&lt;&gt;"", EDATE(K137, -3),
    G137&lt;&gt;"", EDATE(G137, + L137),
    H137&lt;&gt;"", EDATE(H137, + L137*0.75),
    I137&lt;&gt;"", EDATE(I137, H L137*0.5),
    TRUE, ""
)</f>
        <v/>
      </c>
      <c r="Q137" s="45" t="str" cm="1">
        <f t="array" ref="Q137">_xlfn.IFS(
    K137&lt;&gt;"",K137,
    J137&lt;&gt;"",EDATE(J137,3),
    P137&lt;&gt;"",EDATE(P137,3),
    TRUE,""
)</f>
        <v/>
      </c>
    </row>
    <row r="138" spans="1:17" x14ac:dyDescent="0.3">
      <c r="A138" t="str">
        <f>IF(AND(Projects!A147="", Projects!B147=""), "", IF(Projects!A147="", "Unassigned", Projects!A147))</f>
        <v/>
      </c>
      <c r="B138" t="str">
        <f>IF(Projects!B147&lt;&gt;"",Projects!B147,"")</f>
        <v/>
      </c>
      <c r="C138" t="str">
        <f>IF(AND(Projects!C147="", Projects!B147=""), "", IF(Projects!C147="", "None", Projects!C147))</f>
        <v/>
      </c>
      <c r="D138" t="str">
        <f>IF(AND(Projects!D147="", Projects!B147=""), "", IF(Projects!D147="", "No OpCo", Projects!D147))</f>
        <v/>
      </c>
      <c r="E138" t="str">
        <f>IF(Projects!E147&lt;&gt;"",Projects!E147,"")</f>
        <v/>
      </c>
      <c r="F138" t="str">
        <f>IF(Projects!F147&lt;&gt;"",Projects!F147,"")</f>
        <v/>
      </c>
      <c r="G138" s="45" t="str">
        <f>IF(Projects!G147&lt;&gt;"",Projects!G147,"")</f>
        <v/>
      </c>
      <c r="H138" s="45" t="str">
        <f>IF(Projects!H147&lt;&gt;"",Projects!H147,"")</f>
        <v/>
      </c>
      <c r="I138" s="45" t="str">
        <f>IF(Projects!I147&lt;&gt;"",Projects!I147,"")</f>
        <v/>
      </c>
      <c r="J138" s="45" t="str">
        <f>IF(Projects!J147&lt;&gt;"",Projects!J147,"")</f>
        <v/>
      </c>
      <c r="K138" s="45" t="str">
        <f>IF(Projects!K147&lt;&gt;"",Projects!K147,"")</f>
        <v/>
      </c>
      <c r="L138" t="str">
        <f>IF(AND(Projects!E147&lt;&gt;"", Projects!F147&lt;&gt;""),
INDEX('Duration Table'!$D$7:$H$17,MATCH(Projects!E147,'Duration Table'!$C$7:$C$17,0),MATCH(Projects!F147,'Duration Table'!$D$6:$H$6)),
   ""
)</f>
        <v/>
      </c>
      <c r="M138" s="45" t="str" cm="1">
        <f t="array" ref="M138">_xlfn.IFS(
    G138&lt;&gt;"",G138,
    H138&lt;&gt;"",EDATE(H138,-0.25*L138),
    N138&lt;&gt;"",EDATE(N138,-0.25*L138),
    TRUE,""
)</f>
        <v/>
      </c>
      <c r="N138" s="45" t="str" cm="1">
        <f t="array" ref="N138">_xlfn.IFS(
    H138&lt;&gt;"", H138,
    COUNT(G138,I138)=2, (G138 + (DATEDIF(G138,I138,"d")*0.5)),
    COUNT(G138,J138)=2, (G138 + (DATEDIF(G138,J138,"d")*0.25)),
    COUNT(G138,K138)=2, (G138 + ((DATEDIF(G138,K138,"d")-90)*0.25)),
    COUNT(I138,J138)=2, (I138 -(DATEDIF(I138,J138,"d")*0.5)),
    COUNT(I138,K138)=2, (I138 -((DATEDIF(I138,K138,"d")-90)*0.5)),
    G138&lt;&gt;"", EDATE(G138, + L138*0.25),
    I138&lt;&gt;"", EDATE(I138, - L138*0.25),
    J138&lt;&gt;"", EDATE(J138, - L138*0.75),
    K138&lt;&gt;"", EDATE(K138, -((L138*0.75)+3)),
    TRUE, ""
)</f>
        <v/>
      </c>
      <c r="O138" s="45" t="str" cm="1">
        <f t="array" ref="O138">_xlfn.IFS(
    I138&lt;&gt;"", I138,
    COUNT(H138,J138)=2, (H138 + (DATEDIF(H138,J138,"d")*0.33)),
    COUNT(H138,K138)=2, (H138 + ((DATEDIF(H138,K138,"d")-90)*0.33)),
    COUNT(G138,J138)=2, (G138 +  DATEDIF(G138,J138,"d")*0.5),
    COUNT(G138,K138)=2, (G138 + (DATEDIF(G138,K138,"d")-90)*0.5),
    G138&lt;&gt;"", EDATE(G138, + L138*0.5),
    H138&lt;&gt;"", EDATE(H138, + L138*0.25),
    J138&lt;&gt;"", EDATE(J138, - L138*0.5),
    K138&lt;&gt;"", EDATE(K138, -((L138*0.5)+3)),
    TRUE, ""
)</f>
        <v/>
      </c>
      <c r="P138" s="45" t="str" cm="1">
        <f t="array" ref="P138">_xlfn.IFS(
    J138&lt;&gt;"", J138,
    K138&lt;&gt;"", EDATE(K138, -3),
    G138&lt;&gt;"", EDATE(G138, + L138),
    H138&lt;&gt;"", EDATE(H138, + L138*0.75),
    I138&lt;&gt;"", EDATE(I138, H L138*0.5),
    TRUE, ""
)</f>
        <v/>
      </c>
      <c r="Q138" s="45" t="str" cm="1">
        <f t="array" ref="Q138">_xlfn.IFS(
    K138&lt;&gt;"",K138,
    J138&lt;&gt;"",EDATE(J138,3),
    P138&lt;&gt;"",EDATE(P138,3),
    TRUE,""
)</f>
        <v/>
      </c>
    </row>
    <row r="139" spans="1:17" x14ac:dyDescent="0.3">
      <c r="A139" t="str">
        <f>IF(AND(Projects!A148="", Projects!B148=""), "", IF(Projects!A148="", "Unassigned", Projects!A148))</f>
        <v/>
      </c>
      <c r="B139" t="str">
        <f>IF(Projects!B148&lt;&gt;"",Projects!B148,"")</f>
        <v/>
      </c>
      <c r="C139" t="str">
        <f>IF(AND(Projects!C148="", Projects!B148=""), "", IF(Projects!C148="", "None", Projects!C148))</f>
        <v/>
      </c>
      <c r="D139" t="str">
        <f>IF(AND(Projects!D148="", Projects!B148=""), "", IF(Projects!D148="", "No OpCo", Projects!D148))</f>
        <v/>
      </c>
      <c r="E139" t="str">
        <f>IF(Projects!E148&lt;&gt;"",Projects!E148,"")</f>
        <v/>
      </c>
      <c r="F139" t="str">
        <f>IF(Projects!F148&lt;&gt;"",Projects!F148,"")</f>
        <v/>
      </c>
      <c r="G139" s="45" t="str">
        <f>IF(Projects!G148&lt;&gt;"",Projects!G148,"")</f>
        <v/>
      </c>
      <c r="H139" s="45" t="str">
        <f>IF(Projects!H148&lt;&gt;"",Projects!H148,"")</f>
        <v/>
      </c>
      <c r="I139" s="45" t="str">
        <f>IF(Projects!I148&lt;&gt;"",Projects!I148,"")</f>
        <v/>
      </c>
      <c r="J139" s="45" t="str">
        <f>IF(Projects!J148&lt;&gt;"",Projects!J148,"")</f>
        <v/>
      </c>
      <c r="K139" s="45" t="str">
        <f>IF(Projects!K148&lt;&gt;"",Projects!K148,"")</f>
        <v/>
      </c>
      <c r="L139" t="str">
        <f>IF(AND(Projects!E148&lt;&gt;"", Projects!F148&lt;&gt;""),
INDEX('Duration Table'!$D$7:$H$17,MATCH(Projects!E148,'Duration Table'!$C$7:$C$17,0),MATCH(Projects!F148,'Duration Table'!$D$6:$H$6)),
   ""
)</f>
        <v/>
      </c>
      <c r="M139" s="45" t="str" cm="1">
        <f t="array" ref="M139">_xlfn.IFS(
    G139&lt;&gt;"",G139,
    H139&lt;&gt;"",EDATE(H139,-0.25*L139),
    N139&lt;&gt;"",EDATE(N139,-0.25*L139),
    TRUE,""
)</f>
        <v/>
      </c>
      <c r="N139" s="45" t="str" cm="1">
        <f t="array" ref="N139">_xlfn.IFS(
    H139&lt;&gt;"", H139,
    COUNT(G139,I139)=2, (G139 + (DATEDIF(G139,I139,"d")*0.5)),
    COUNT(G139,J139)=2, (G139 + (DATEDIF(G139,J139,"d")*0.25)),
    COUNT(G139,K139)=2, (G139 + ((DATEDIF(G139,K139,"d")-90)*0.25)),
    COUNT(I139,J139)=2, (I139 -(DATEDIF(I139,J139,"d")*0.5)),
    COUNT(I139,K139)=2, (I139 -((DATEDIF(I139,K139,"d")-90)*0.5)),
    G139&lt;&gt;"", EDATE(G139, + L139*0.25),
    I139&lt;&gt;"", EDATE(I139, - L139*0.25),
    J139&lt;&gt;"", EDATE(J139, - L139*0.75),
    K139&lt;&gt;"", EDATE(K139, -((L139*0.75)+3)),
    TRUE, ""
)</f>
        <v/>
      </c>
      <c r="O139" s="45" t="str" cm="1">
        <f t="array" ref="O139">_xlfn.IFS(
    I139&lt;&gt;"", I139,
    COUNT(H139,J139)=2, (H139 + (DATEDIF(H139,J139,"d")*0.33)),
    COUNT(H139,K139)=2, (H139 + ((DATEDIF(H139,K139,"d")-90)*0.33)),
    COUNT(G139,J139)=2, (G139 +  DATEDIF(G139,J139,"d")*0.5),
    COUNT(G139,K139)=2, (G139 + (DATEDIF(G139,K139,"d")-90)*0.5),
    G139&lt;&gt;"", EDATE(G139, + L139*0.5),
    H139&lt;&gt;"", EDATE(H139, + L139*0.25),
    J139&lt;&gt;"", EDATE(J139, - L139*0.5),
    K139&lt;&gt;"", EDATE(K139, -((L139*0.5)+3)),
    TRUE, ""
)</f>
        <v/>
      </c>
      <c r="P139" s="45" t="str" cm="1">
        <f t="array" ref="P139">_xlfn.IFS(
    J139&lt;&gt;"", J139,
    K139&lt;&gt;"", EDATE(K139, -3),
    G139&lt;&gt;"", EDATE(G139, + L139),
    H139&lt;&gt;"", EDATE(H139, + L139*0.75),
    I139&lt;&gt;"", EDATE(I139, H L139*0.5),
    TRUE, ""
)</f>
        <v/>
      </c>
      <c r="Q139" s="45" t="str" cm="1">
        <f t="array" ref="Q139">_xlfn.IFS(
    K139&lt;&gt;"",K139,
    J139&lt;&gt;"",EDATE(J139,3),
    P139&lt;&gt;"",EDATE(P139,3),
    TRUE,""
)</f>
        <v/>
      </c>
    </row>
    <row r="140" spans="1:17" x14ac:dyDescent="0.3">
      <c r="A140" t="str">
        <f>IF(AND(Projects!A149="", Projects!B149=""), "", IF(Projects!A149="", "Unassigned", Projects!A149))</f>
        <v/>
      </c>
      <c r="B140" t="str">
        <f>IF(Projects!B149&lt;&gt;"",Projects!B149,"")</f>
        <v/>
      </c>
      <c r="C140" t="str">
        <f>IF(AND(Projects!C149="", Projects!B149=""), "", IF(Projects!C149="", "None", Projects!C149))</f>
        <v/>
      </c>
      <c r="D140" t="str">
        <f>IF(AND(Projects!D149="", Projects!B149=""), "", IF(Projects!D149="", "No OpCo", Projects!D149))</f>
        <v/>
      </c>
      <c r="E140" t="str">
        <f>IF(Projects!E149&lt;&gt;"",Projects!E149,"")</f>
        <v/>
      </c>
      <c r="F140" t="str">
        <f>IF(Projects!F149&lt;&gt;"",Projects!F149,"")</f>
        <v/>
      </c>
      <c r="G140" s="45" t="str">
        <f>IF(Projects!G149&lt;&gt;"",Projects!G149,"")</f>
        <v/>
      </c>
      <c r="H140" s="45" t="str">
        <f>IF(Projects!H149&lt;&gt;"",Projects!H149,"")</f>
        <v/>
      </c>
      <c r="I140" s="45" t="str">
        <f>IF(Projects!I149&lt;&gt;"",Projects!I149,"")</f>
        <v/>
      </c>
      <c r="J140" s="45" t="str">
        <f>IF(Projects!J149&lt;&gt;"",Projects!J149,"")</f>
        <v/>
      </c>
      <c r="K140" s="45" t="str">
        <f>IF(Projects!K149&lt;&gt;"",Projects!K149,"")</f>
        <v/>
      </c>
      <c r="L140" t="str">
        <f>IF(AND(Projects!E149&lt;&gt;"", Projects!F149&lt;&gt;""),
INDEX('Duration Table'!$D$7:$H$17,MATCH(Projects!E149,'Duration Table'!$C$7:$C$17,0),MATCH(Projects!F149,'Duration Table'!$D$6:$H$6)),
   ""
)</f>
        <v/>
      </c>
      <c r="M140" s="45" t="str" cm="1">
        <f t="array" ref="M140">_xlfn.IFS(
    G140&lt;&gt;"",G140,
    H140&lt;&gt;"",EDATE(H140,-0.25*L140),
    N140&lt;&gt;"",EDATE(N140,-0.25*L140),
    TRUE,""
)</f>
        <v/>
      </c>
      <c r="N140" s="45" t="str" cm="1">
        <f t="array" ref="N140">_xlfn.IFS(
    H140&lt;&gt;"", H140,
    COUNT(G140,I140)=2, (G140 + (DATEDIF(G140,I140,"d")*0.5)),
    COUNT(G140,J140)=2, (G140 + (DATEDIF(G140,J140,"d")*0.25)),
    COUNT(G140,K140)=2, (G140 + ((DATEDIF(G140,K140,"d")-90)*0.25)),
    COUNT(I140,J140)=2, (I140 -(DATEDIF(I140,J140,"d")*0.5)),
    COUNT(I140,K140)=2, (I140 -((DATEDIF(I140,K140,"d")-90)*0.5)),
    G140&lt;&gt;"", EDATE(G140, + L140*0.25),
    I140&lt;&gt;"", EDATE(I140, - L140*0.25),
    J140&lt;&gt;"", EDATE(J140, - L140*0.75),
    K140&lt;&gt;"", EDATE(K140, -((L140*0.75)+3)),
    TRUE, ""
)</f>
        <v/>
      </c>
      <c r="O140" s="45" t="str" cm="1">
        <f t="array" ref="O140">_xlfn.IFS(
    I140&lt;&gt;"", I140,
    COUNT(H140,J140)=2, (H140 + (DATEDIF(H140,J140,"d")*0.33)),
    COUNT(H140,K140)=2, (H140 + ((DATEDIF(H140,K140,"d")-90)*0.33)),
    COUNT(G140,J140)=2, (G140 +  DATEDIF(G140,J140,"d")*0.5),
    COUNT(G140,K140)=2, (G140 + (DATEDIF(G140,K140,"d")-90)*0.5),
    G140&lt;&gt;"", EDATE(G140, + L140*0.5),
    H140&lt;&gt;"", EDATE(H140, + L140*0.25),
    J140&lt;&gt;"", EDATE(J140, - L140*0.5),
    K140&lt;&gt;"", EDATE(K140, -((L140*0.5)+3)),
    TRUE, ""
)</f>
        <v/>
      </c>
      <c r="P140" s="45" t="str" cm="1">
        <f t="array" ref="P140">_xlfn.IFS(
    J140&lt;&gt;"", J140,
    K140&lt;&gt;"", EDATE(K140, -3),
    G140&lt;&gt;"", EDATE(G140, + L140),
    H140&lt;&gt;"", EDATE(H140, + L140*0.75),
    I140&lt;&gt;"", EDATE(I140, H L140*0.5),
    TRUE, ""
)</f>
        <v/>
      </c>
      <c r="Q140" s="45" t="str" cm="1">
        <f t="array" ref="Q140">_xlfn.IFS(
    K140&lt;&gt;"",K140,
    J140&lt;&gt;"",EDATE(J140,3),
    P140&lt;&gt;"",EDATE(P140,3),
    TRUE,""
)</f>
        <v/>
      </c>
    </row>
    <row r="141" spans="1:17" x14ac:dyDescent="0.3">
      <c r="A141" t="str">
        <f>IF(AND(Projects!A150="", Projects!B150=""), "", IF(Projects!A150="", "Unassigned", Projects!A150))</f>
        <v/>
      </c>
      <c r="B141" t="str">
        <f>IF(Projects!B150&lt;&gt;"",Projects!B150,"")</f>
        <v/>
      </c>
      <c r="C141" t="str">
        <f>IF(AND(Projects!C150="", Projects!B150=""), "", IF(Projects!C150="", "None", Projects!C150))</f>
        <v/>
      </c>
      <c r="D141" t="str">
        <f>IF(AND(Projects!D150="", Projects!B150=""), "", IF(Projects!D150="", "No OpCo", Projects!D150))</f>
        <v/>
      </c>
      <c r="E141" t="str">
        <f>IF(Projects!E150&lt;&gt;"",Projects!E150,"")</f>
        <v/>
      </c>
      <c r="F141" t="str">
        <f>IF(Projects!F150&lt;&gt;"",Projects!F150,"")</f>
        <v/>
      </c>
      <c r="G141" s="45" t="str">
        <f>IF(Projects!G150&lt;&gt;"",Projects!G150,"")</f>
        <v/>
      </c>
      <c r="H141" s="45" t="str">
        <f>IF(Projects!H150&lt;&gt;"",Projects!H150,"")</f>
        <v/>
      </c>
      <c r="I141" s="45" t="str">
        <f>IF(Projects!I150&lt;&gt;"",Projects!I150,"")</f>
        <v/>
      </c>
      <c r="J141" s="45" t="str">
        <f>IF(Projects!J150&lt;&gt;"",Projects!J150,"")</f>
        <v/>
      </c>
      <c r="K141" s="45" t="str">
        <f>IF(Projects!K150&lt;&gt;"",Projects!K150,"")</f>
        <v/>
      </c>
      <c r="L141" t="str">
        <f>IF(AND(Projects!E150&lt;&gt;"", Projects!F150&lt;&gt;""),
INDEX('Duration Table'!$D$7:$H$17,MATCH(Projects!E150,'Duration Table'!$C$7:$C$17,0),MATCH(Projects!F150,'Duration Table'!$D$6:$H$6)),
   ""
)</f>
        <v/>
      </c>
      <c r="M141" s="45" t="str" cm="1">
        <f t="array" ref="M141">_xlfn.IFS(
    G141&lt;&gt;"",G141,
    H141&lt;&gt;"",EDATE(H141,-0.25*L141),
    N141&lt;&gt;"",EDATE(N141,-0.25*L141),
    TRUE,""
)</f>
        <v/>
      </c>
      <c r="N141" s="45" t="str" cm="1">
        <f t="array" ref="N141">_xlfn.IFS(
    H141&lt;&gt;"", H141,
    COUNT(G141,I141)=2, (G141 + (DATEDIF(G141,I141,"d")*0.5)),
    COUNT(G141,J141)=2, (G141 + (DATEDIF(G141,J141,"d")*0.25)),
    COUNT(G141,K141)=2, (G141 + ((DATEDIF(G141,K141,"d")-90)*0.25)),
    COUNT(I141,J141)=2, (I141 -(DATEDIF(I141,J141,"d")*0.5)),
    COUNT(I141,K141)=2, (I141 -((DATEDIF(I141,K141,"d")-90)*0.5)),
    G141&lt;&gt;"", EDATE(G141, + L141*0.25),
    I141&lt;&gt;"", EDATE(I141, - L141*0.25),
    J141&lt;&gt;"", EDATE(J141, - L141*0.75),
    K141&lt;&gt;"", EDATE(K141, -((L141*0.75)+3)),
    TRUE, ""
)</f>
        <v/>
      </c>
      <c r="O141" s="45" t="str" cm="1">
        <f t="array" ref="O141">_xlfn.IFS(
    I141&lt;&gt;"", I141,
    COUNT(H141,J141)=2, (H141 + (DATEDIF(H141,J141,"d")*0.33)),
    COUNT(H141,K141)=2, (H141 + ((DATEDIF(H141,K141,"d")-90)*0.33)),
    COUNT(G141,J141)=2, (G141 +  DATEDIF(G141,J141,"d")*0.5),
    COUNT(G141,K141)=2, (G141 + (DATEDIF(G141,K141,"d")-90)*0.5),
    G141&lt;&gt;"", EDATE(G141, + L141*0.5),
    H141&lt;&gt;"", EDATE(H141, + L141*0.25),
    J141&lt;&gt;"", EDATE(J141, - L141*0.5),
    K141&lt;&gt;"", EDATE(K141, -((L141*0.5)+3)),
    TRUE, ""
)</f>
        <v/>
      </c>
      <c r="P141" s="45" t="str" cm="1">
        <f t="array" ref="P141">_xlfn.IFS(
    J141&lt;&gt;"", J141,
    K141&lt;&gt;"", EDATE(K141, -3),
    G141&lt;&gt;"", EDATE(G141, + L141),
    H141&lt;&gt;"", EDATE(H141, + L141*0.75),
    I141&lt;&gt;"", EDATE(I141, H L141*0.5),
    TRUE, ""
)</f>
        <v/>
      </c>
      <c r="Q141" s="45" t="str" cm="1">
        <f t="array" ref="Q141">_xlfn.IFS(
    K141&lt;&gt;"",K141,
    J141&lt;&gt;"",EDATE(J141,3),
    P141&lt;&gt;"",EDATE(P141,3),
    TRUE,""
)</f>
        <v/>
      </c>
    </row>
    <row r="142" spans="1:17" x14ac:dyDescent="0.3">
      <c r="A142" t="str">
        <f>IF(AND(Projects!A151="", Projects!B151=""), "", IF(Projects!A151="", "Unassigned", Projects!A151))</f>
        <v/>
      </c>
      <c r="B142" t="str">
        <f>IF(Projects!B151&lt;&gt;"",Projects!B151,"")</f>
        <v/>
      </c>
      <c r="C142" t="str">
        <f>IF(AND(Projects!C151="", Projects!B151=""), "", IF(Projects!C151="", "None", Projects!C151))</f>
        <v/>
      </c>
      <c r="D142" t="str">
        <f>IF(AND(Projects!D151="", Projects!B151=""), "", IF(Projects!D151="", "No OpCo", Projects!D151))</f>
        <v/>
      </c>
      <c r="E142" t="str">
        <f>IF(Projects!E151&lt;&gt;"",Projects!E151,"")</f>
        <v/>
      </c>
      <c r="F142" t="str">
        <f>IF(Projects!F151&lt;&gt;"",Projects!F151,"")</f>
        <v/>
      </c>
      <c r="G142" s="45" t="str">
        <f>IF(Projects!G151&lt;&gt;"",Projects!G151,"")</f>
        <v/>
      </c>
      <c r="H142" s="45" t="str">
        <f>IF(Projects!H151&lt;&gt;"",Projects!H151,"")</f>
        <v/>
      </c>
      <c r="I142" s="45" t="str">
        <f>IF(Projects!I151&lt;&gt;"",Projects!I151,"")</f>
        <v/>
      </c>
      <c r="J142" s="45" t="str">
        <f>IF(Projects!J151&lt;&gt;"",Projects!J151,"")</f>
        <v/>
      </c>
      <c r="K142" s="45" t="str">
        <f>IF(Projects!K151&lt;&gt;"",Projects!K151,"")</f>
        <v/>
      </c>
      <c r="L142" t="str">
        <f>IF(AND(Projects!E151&lt;&gt;"", Projects!F151&lt;&gt;""),
INDEX('Duration Table'!$D$7:$H$17,MATCH(Projects!E151,'Duration Table'!$C$7:$C$17,0),MATCH(Projects!F151,'Duration Table'!$D$6:$H$6)),
   ""
)</f>
        <v/>
      </c>
      <c r="M142" s="45" t="str" cm="1">
        <f t="array" ref="M142">_xlfn.IFS(
    G142&lt;&gt;"",G142,
    H142&lt;&gt;"",EDATE(H142,-0.25*L142),
    N142&lt;&gt;"",EDATE(N142,-0.25*L142),
    TRUE,""
)</f>
        <v/>
      </c>
      <c r="N142" s="45" t="str" cm="1">
        <f t="array" ref="N142">_xlfn.IFS(
    H142&lt;&gt;"", H142,
    COUNT(G142,I142)=2, (G142 + (DATEDIF(G142,I142,"d")*0.5)),
    COUNT(G142,J142)=2, (G142 + (DATEDIF(G142,J142,"d")*0.25)),
    COUNT(G142,K142)=2, (G142 + ((DATEDIF(G142,K142,"d")-90)*0.25)),
    COUNT(I142,J142)=2, (I142 -(DATEDIF(I142,J142,"d")*0.5)),
    COUNT(I142,K142)=2, (I142 -((DATEDIF(I142,K142,"d")-90)*0.5)),
    G142&lt;&gt;"", EDATE(G142, + L142*0.25),
    I142&lt;&gt;"", EDATE(I142, - L142*0.25),
    J142&lt;&gt;"", EDATE(J142, - L142*0.75),
    K142&lt;&gt;"", EDATE(K142, -((L142*0.75)+3)),
    TRUE, ""
)</f>
        <v/>
      </c>
      <c r="O142" s="45" t="str" cm="1">
        <f t="array" ref="O142">_xlfn.IFS(
    I142&lt;&gt;"", I142,
    COUNT(H142,J142)=2, (H142 + (DATEDIF(H142,J142,"d")*0.33)),
    COUNT(H142,K142)=2, (H142 + ((DATEDIF(H142,K142,"d")-90)*0.33)),
    COUNT(G142,J142)=2, (G142 +  DATEDIF(G142,J142,"d")*0.5),
    COUNT(G142,K142)=2, (G142 + (DATEDIF(G142,K142,"d")-90)*0.5),
    G142&lt;&gt;"", EDATE(G142, + L142*0.5),
    H142&lt;&gt;"", EDATE(H142, + L142*0.25),
    J142&lt;&gt;"", EDATE(J142, - L142*0.5),
    K142&lt;&gt;"", EDATE(K142, -((L142*0.5)+3)),
    TRUE, ""
)</f>
        <v/>
      </c>
      <c r="P142" s="45" t="str" cm="1">
        <f t="array" ref="P142">_xlfn.IFS(
    J142&lt;&gt;"", J142,
    K142&lt;&gt;"", EDATE(K142, -3),
    G142&lt;&gt;"", EDATE(G142, + L142),
    H142&lt;&gt;"", EDATE(H142, + L142*0.75),
    I142&lt;&gt;"", EDATE(I142, H L142*0.5),
    TRUE, ""
)</f>
        <v/>
      </c>
      <c r="Q142" s="45" t="str" cm="1">
        <f t="array" ref="Q142">_xlfn.IFS(
    K142&lt;&gt;"",K142,
    J142&lt;&gt;"",EDATE(J142,3),
    P142&lt;&gt;"",EDATE(P142,3),
    TRUE,""
)</f>
        <v/>
      </c>
    </row>
    <row r="143" spans="1:17" x14ac:dyDescent="0.3">
      <c r="A143" t="str">
        <f>IF(AND(Projects!A152="", Projects!B152=""), "", IF(Projects!A152="", "Unassigned", Projects!A152))</f>
        <v/>
      </c>
      <c r="B143" t="str">
        <f>IF(Projects!B152&lt;&gt;"",Projects!B152,"")</f>
        <v/>
      </c>
      <c r="C143" t="str">
        <f>IF(AND(Projects!C152="", Projects!B152=""), "", IF(Projects!C152="", "None", Projects!C152))</f>
        <v/>
      </c>
      <c r="D143" t="str">
        <f>IF(AND(Projects!D152="", Projects!B152=""), "", IF(Projects!D152="", "No OpCo", Projects!D152))</f>
        <v/>
      </c>
      <c r="E143" t="str">
        <f>IF(Projects!E152&lt;&gt;"",Projects!E152,"")</f>
        <v/>
      </c>
      <c r="F143" t="str">
        <f>IF(Projects!F152&lt;&gt;"",Projects!F152,"")</f>
        <v/>
      </c>
      <c r="G143" s="45" t="str">
        <f>IF(Projects!G152&lt;&gt;"",Projects!G152,"")</f>
        <v/>
      </c>
      <c r="H143" s="45" t="str">
        <f>IF(Projects!H152&lt;&gt;"",Projects!H152,"")</f>
        <v/>
      </c>
      <c r="I143" s="45" t="str">
        <f>IF(Projects!I152&lt;&gt;"",Projects!I152,"")</f>
        <v/>
      </c>
      <c r="J143" s="45" t="str">
        <f>IF(Projects!J152&lt;&gt;"",Projects!J152,"")</f>
        <v/>
      </c>
      <c r="K143" s="45" t="str">
        <f>IF(Projects!K152&lt;&gt;"",Projects!K152,"")</f>
        <v/>
      </c>
      <c r="L143" t="str">
        <f>IF(AND(Projects!E152&lt;&gt;"", Projects!F152&lt;&gt;""),
INDEX('Duration Table'!$D$7:$H$17,MATCH(Projects!E152,'Duration Table'!$C$7:$C$17,0),MATCH(Projects!F152,'Duration Table'!$D$6:$H$6)),
   ""
)</f>
        <v/>
      </c>
      <c r="M143" s="45" t="str" cm="1">
        <f t="array" ref="M143">_xlfn.IFS(
    G143&lt;&gt;"",G143,
    H143&lt;&gt;"",EDATE(H143,-0.25*L143),
    N143&lt;&gt;"",EDATE(N143,-0.25*L143),
    TRUE,""
)</f>
        <v/>
      </c>
      <c r="N143" s="45" t="str" cm="1">
        <f t="array" ref="N143">_xlfn.IFS(
    H143&lt;&gt;"", H143,
    COUNT(G143,I143)=2, (G143 + (DATEDIF(G143,I143,"d")*0.5)),
    COUNT(G143,J143)=2, (G143 + (DATEDIF(G143,J143,"d")*0.25)),
    COUNT(G143,K143)=2, (G143 + ((DATEDIF(G143,K143,"d")-90)*0.25)),
    COUNT(I143,J143)=2, (I143 -(DATEDIF(I143,J143,"d")*0.5)),
    COUNT(I143,K143)=2, (I143 -((DATEDIF(I143,K143,"d")-90)*0.5)),
    G143&lt;&gt;"", EDATE(G143, + L143*0.25),
    I143&lt;&gt;"", EDATE(I143, - L143*0.25),
    J143&lt;&gt;"", EDATE(J143, - L143*0.75),
    K143&lt;&gt;"", EDATE(K143, -((L143*0.75)+3)),
    TRUE, ""
)</f>
        <v/>
      </c>
      <c r="O143" s="45" t="str" cm="1">
        <f t="array" ref="O143">_xlfn.IFS(
    I143&lt;&gt;"", I143,
    COUNT(H143,J143)=2, (H143 + (DATEDIF(H143,J143,"d")*0.33)),
    COUNT(H143,K143)=2, (H143 + ((DATEDIF(H143,K143,"d")-90)*0.33)),
    COUNT(G143,J143)=2, (G143 +  DATEDIF(G143,J143,"d")*0.5),
    COUNT(G143,K143)=2, (G143 + (DATEDIF(G143,K143,"d")-90)*0.5),
    G143&lt;&gt;"", EDATE(G143, + L143*0.5),
    H143&lt;&gt;"", EDATE(H143, + L143*0.25),
    J143&lt;&gt;"", EDATE(J143, - L143*0.5),
    K143&lt;&gt;"", EDATE(K143, -((L143*0.5)+3)),
    TRUE, ""
)</f>
        <v/>
      </c>
      <c r="P143" s="45" t="str" cm="1">
        <f t="array" ref="P143">_xlfn.IFS(
    J143&lt;&gt;"", J143,
    K143&lt;&gt;"", EDATE(K143, -3),
    G143&lt;&gt;"", EDATE(G143, + L143),
    H143&lt;&gt;"", EDATE(H143, + L143*0.75),
    I143&lt;&gt;"", EDATE(I143, H L143*0.5),
    TRUE, ""
)</f>
        <v/>
      </c>
      <c r="Q143" s="45" t="str" cm="1">
        <f t="array" ref="Q143">_xlfn.IFS(
    K143&lt;&gt;"",K143,
    J143&lt;&gt;"",EDATE(J143,3),
    P143&lt;&gt;"",EDATE(P143,3),
    TRUE,""
)</f>
        <v/>
      </c>
    </row>
    <row r="144" spans="1:17" x14ac:dyDescent="0.3">
      <c r="A144" t="str">
        <f>IF(AND(Projects!A153="", Projects!B153=""), "", IF(Projects!A153="", "Unassigned", Projects!A153))</f>
        <v/>
      </c>
      <c r="B144" t="str">
        <f>IF(Projects!B153&lt;&gt;"",Projects!B153,"")</f>
        <v/>
      </c>
      <c r="C144" t="str">
        <f>IF(AND(Projects!C153="", Projects!B153=""), "", IF(Projects!C153="", "None", Projects!C153))</f>
        <v/>
      </c>
      <c r="D144" t="str">
        <f>IF(AND(Projects!D153="", Projects!B153=""), "", IF(Projects!D153="", "No OpCo", Projects!D153))</f>
        <v/>
      </c>
      <c r="E144" t="str">
        <f>IF(Projects!E153&lt;&gt;"",Projects!E153,"")</f>
        <v/>
      </c>
      <c r="F144" t="str">
        <f>IF(Projects!F153&lt;&gt;"",Projects!F153,"")</f>
        <v/>
      </c>
      <c r="G144" s="45" t="str">
        <f>IF(Projects!G153&lt;&gt;"",Projects!G153,"")</f>
        <v/>
      </c>
      <c r="H144" s="45" t="str">
        <f>IF(Projects!H153&lt;&gt;"",Projects!H153,"")</f>
        <v/>
      </c>
      <c r="I144" s="45" t="str">
        <f>IF(Projects!I153&lt;&gt;"",Projects!I153,"")</f>
        <v/>
      </c>
      <c r="J144" s="45" t="str">
        <f>IF(Projects!J153&lt;&gt;"",Projects!J153,"")</f>
        <v/>
      </c>
      <c r="K144" s="45" t="str">
        <f>IF(Projects!K153&lt;&gt;"",Projects!K153,"")</f>
        <v/>
      </c>
      <c r="L144" t="str">
        <f>IF(AND(Projects!E153&lt;&gt;"", Projects!F153&lt;&gt;""),
INDEX('Duration Table'!$D$7:$H$17,MATCH(Projects!E153,'Duration Table'!$C$7:$C$17,0),MATCH(Projects!F153,'Duration Table'!$D$6:$H$6)),
   ""
)</f>
        <v/>
      </c>
      <c r="M144" s="45" t="str" cm="1">
        <f t="array" ref="M144">_xlfn.IFS(
    G144&lt;&gt;"",G144,
    H144&lt;&gt;"",EDATE(H144,-0.25*L144),
    N144&lt;&gt;"",EDATE(N144,-0.25*L144),
    TRUE,""
)</f>
        <v/>
      </c>
      <c r="N144" s="45" t="str" cm="1">
        <f t="array" ref="N144">_xlfn.IFS(
    H144&lt;&gt;"", H144,
    COUNT(G144,I144)=2, (G144 + (DATEDIF(G144,I144,"d")*0.5)),
    COUNT(G144,J144)=2, (G144 + (DATEDIF(G144,J144,"d")*0.25)),
    COUNT(G144,K144)=2, (G144 + ((DATEDIF(G144,K144,"d")-90)*0.25)),
    COUNT(I144,J144)=2, (I144 -(DATEDIF(I144,J144,"d")*0.5)),
    COUNT(I144,K144)=2, (I144 -((DATEDIF(I144,K144,"d")-90)*0.5)),
    G144&lt;&gt;"", EDATE(G144, + L144*0.25),
    I144&lt;&gt;"", EDATE(I144, - L144*0.25),
    J144&lt;&gt;"", EDATE(J144, - L144*0.75),
    K144&lt;&gt;"", EDATE(K144, -((L144*0.75)+3)),
    TRUE, ""
)</f>
        <v/>
      </c>
      <c r="O144" s="45" t="str" cm="1">
        <f t="array" ref="O144">_xlfn.IFS(
    I144&lt;&gt;"", I144,
    COUNT(H144,J144)=2, (H144 + (DATEDIF(H144,J144,"d")*0.33)),
    COUNT(H144,K144)=2, (H144 + ((DATEDIF(H144,K144,"d")-90)*0.33)),
    COUNT(G144,J144)=2, (G144 +  DATEDIF(G144,J144,"d")*0.5),
    COUNT(G144,K144)=2, (G144 + (DATEDIF(G144,K144,"d")-90)*0.5),
    G144&lt;&gt;"", EDATE(G144, + L144*0.5),
    H144&lt;&gt;"", EDATE(H144, + L144*0.25),
    J144&lt;&gt;"", EDATE(J144, - L144*0.5),
    K144&lt;&gt;"", EDATE(K144, -((L144*0.5)+3)),
    TRUE, ""
)</f>
        <v/>
      </c>
      <c r="P144" s="45" t="str" cm="1">
        <f t="array" ref="P144">_xlfn.IFS(
    J144&lt;&gt;"", J144,
    K144&lt;&gt;"", EDATE(K144, -3),
    G144&lt;&gt;"", EDATE(G144, + L144),
    H144&lt;&gt;"", EDATE(H144, + L144*0.75),
    I144&lt;&gt;"", EDATE(I144, H L144*0.5),
    TRUE, ""
)</f>
        <v/>
      </c>
      <c r="Q144" s="45" t="str" cm="1">
        <f t="array" ref="Q144">_xlfn.IFS(
    K144&lt;&gt;"",K144,
    J144&lt;&gt;"",EDATE(J144,3),
    P144&lt;&gt;"",EDATE(P144,3),
    TRUE,""
)</f>
        <v/>
      </c>
    </row>
    <row r="145" spans="1:17" x14ac:dyDescent="0.3">
      <c r="A145" t="str">
        <f>IF(AND(Projects!A154="", Projects!B154=""), "", IF(Projects!A154="", "Unassigned", Projects!A154))</f>
        <v/>
      </c>
      <c r="B145" t="str">
        <f>IF(Projects!B154&lt;&gt;"",Projects!B154,"")</f>
        <v/>
      </c>
      <c r="C145" t="str">
        <f>IF(AND(Projects!C154="", Projects!B154=""), "", IF(Projects!C154="", "None", Projects!C154))</f>
        <v/>
      </c>
      <c r="D145" t="str">
        <f>IF(AND(Projects!D154="", Projects!B154=""), "", IF(Projects!D154="", "No OpCo", Projects!D154))</f>
        <v/>
      </c>
      <c r="E145" t="str">
        <f>IF(Projects!E154&lt;&gt;"",Projects!E154,"")</f>
        <v/>
      </c>
      <c r="F145" t="str">
        <f>IF(Projects!F154&lt;&gt;"",Projects!F154,"")</f>
        <v/>
      </c>
      <c r="G145" s="45" t="str">
        <f>IF(Projects!G154&lt;&gt;"",Projects!G154,"")</f>
        <v/>
      </c>
      <c r="H145" s="45" t="str">
        <f>IF(Projects!H154&lt;&gt;"",Projects!H154,"")</f>
        <v/>
      </c>
      <c r="I145" s="45" t="str">
        <f>IF(Projects!I154&lt;&gt;"",Projects!I154,"")</f>
        <v/>
      </c>
      <c r="J145" s="45" t="str">
        <f>IF(Projects!J154&lt;&gt;"",Projects!J154,"")</f>
        <v/>
      </c>
      <c r="K145" s="45" t="str">
        <f>IF(Projects!K154&lt;&gt;"",Projects!K154,"")</f>
        <v/>
      </c>
      <c r="L145" t="str">
        <f>IF(AND(Projects!E154&lt;&gt;"", Projects!F154&lt;&gt;""),
INDEX('Duration Table'!$D$7:$H$17,MATCH(Projects!E154,'Duration Table'!$C$7:$C$17,0),MATCH(Projects!F154,'Duration Table'!$D$6:$H$6)),
   ""
)</f>
        <v/>
      </c>
      <c r="M145" s="45" t="str" cm="1">
        <f t="array" ref="M145">_xlfn.IFS(
    G145&lt;&gt;"",G145,
    H145&lt;&gt;"",EDATE(H145,-0.25*L145),
    N145&lt;&gt;"",EDATE(N145,-0.25*L145),
    TRUE,""
)</f>
        <v/>
      </c>
      <c r="N145" s="45" t="str" cm="1">
        <f t="array" ref="N145">_xlfn.IFS(
    H145&lt;&gt;"", H145,
    COUNT(G145,I145)=2, (G145 + (DATEDIF(G145,I145,"d")*0.5)),
    COUNT(G145,J145)=2, (G145 + (DATEDIF(G145,J145,"d")*0.25)),
    COUNT(G145,K145)=2, (G145 + ((DATEDIF(G145,K145,"d")-90)*0.25)),
    COUNT(I145,J145)=2, (I145 -(DATEDIF(I145,J145,"d")*0.5)),
    COUNT(I145,K145)=2, (I145 -((DATEDIF(I145,K145,"d")-90)*0.5)),
    G145&lt;&gt;"", EDATE(G145, + L145*0.25),
    I145&lt;&gt;"", EDATE(I145, - L145*0.25),
    J145&lt;&gt;"", EDATE(J145, - L145*0.75),
    K145&lt;&gt;"", EDATE(K145, -((L145*0.75)+3)),
    TRUE, ""
)</f>
        <v/>
      </c>
      <c r="O145" s="45" t="str" cm="1">
        <f t="array" ref="O145">_xlfn.IFS(
    I145&lt;&gt;"", I145,
    COUNT(H145,J145)=2, (H145 + (DATEDIF(H145,J145,"d")*0.33)),
    COUNT(H145,K145)=2, (H145 + ((DATEDIF(H145,K145,"d")-90)*0.33)),
    COUNT(G145,J145)=2, (G145 +  DATEDIF(G145,J145,"d")*0.5),
    COUNT(G145,K145)=2, (G145 + (DATEDIF(G145,K145,"d")-90)*0.5),
    G145&lt;&gt;"", EDATE(G145, + L145*0.5),
    H145&lt;&gt;"", EDATE(H145, + L145*0.25),
    J145&lt;&gt;"", EDATE(J145, - L145*0.5),
    K145&lt;&gt;"", EDATE(K145, -((L145*0.5)+3)),
    TRUE, ""
)</f>
        <v/>
      </c>
      <c r="P145" s="45" t="str" cm="1">
        <f t="array" ref="P145">_xlfn.IFS(
    J145&lt;&gt;"", J145,
    K145&lt;&gt;"", EDATE(K145, -3),
    G145&lt;&gt;"", EDATE(G145, + L145),
    H145&lt;&gt;"", EDATE(H145, + L145*0.75),
    I145&lt;&gt;"", EDATE(I145, H L145*0.5),
    TRUE, ""
)</f>
        <v/>
      </c>
      <c r="Q145" s="45" t="str" cm="1">
        <f t="array" ref="Q145">_xlfn.IFS(
    K145&lt;&gt;"",K145,
    J145&lt;&gt;"",EDATE(J145,3),
    P145&lt;&gt;"",EDATE(P145,3),
    TRUE,""
)</f>
        <v/>
      </c>
    </row>
    <row r="146" spans="1:17" x14ac:dyDescent="0.3">
      <c r="A146" t="str">
        <f>IF(AND(Projects!A155="", Projects!B155=""), "", IF(Projects!A155="", "Unassigned", Projects!A155))</f>
        <v/>
      </c>
      <c r="B146" t="str">
        <f>IF(Projects!B155&lt;&gt;"",Projects!B155,"")</f>
        <v/>
      </c>
      <c r="C146" t="str">
        <f>IF(AND(Projects!C155="", Projects!B155=""), "", IF(Projects!C155="", "None", Projects!C155))</f>
        <v/>
      </c>
      <c r="D146" t="str">
        <f>IF(AND(Projects!D155="", Projects!B155=""), "", IF(Projects!D155="", "No OpCo", Projects!D155))</f>
        <v/>
      </c>
      <c r="E146" t="str">
        <f>IF(Projects!E155&lt;&gt;"",Projects!E155,"")</f>
        <v/>
      </c>
      <c r="F146" t="str">
        <f>IF(Projects!F155&lt;&gt;"",Projects!F155,"")</f>
        <v/>
      </c>
      <c r="G146" s="45" t="str">
        <f>IF(Projects!G155&lt;&gt;"",Projects!G155,"")</f>
        <v/>
      </c>
      <c r="H146" s="45" t="str">
        <f>IF(Projects!H155&lt;&gt;"",Projects!H155,"")</f>
        <v/>
      </c>
      <c r="I146" s="45" t="str">
        <f>IF(Projects!I155&lt;&gt;"",Projects!I155,"")</f>
        <v/>
      </c>
      <c r="J146" s="45" t="str">
        <f>IF(Projects!J155&lt;&gt;"",Projects!J155,"")</f>
        <v/>
      </c>
      <c r="K146" s="45" t="str">
        <f>IF(Projects!K155&lt;&gt;"",Projects!K155,"")</f>
        <v/>
      </c>
      <c r="L146" t="str">
        <f>IF(AND(Projects!E155&lt;&gt;"", Projects!F155&lt;&gt;""),
INDEX('Duration Table'!$D$7:$H$17,MATCH(Projects!E155,'Duration Table'!$C$7:$C$17,0),MATCH(Projects!F155,'Duration Table'!$D$6:$H$6)),
   ""
)</f>
        <v/>
      </c>
      <c r="M146" s="45" t="str" cm="1">
        <f t="array" ref="M146">_xlfn.IFS(
    G146&lt;&gt;"",G146,
    H146&lt;&gt;"",EDATE(H146,-0.25*L146),
    N146&lt;&gt;"",EDATE(N146,-0.25*L146),
    TRUE,""
)</f>
        <v/>
      </c>
      <c r="N146" s="45" t="str" cm="1">
        <f t="array" ref="N146">_xlfn.IFS(
    H146&lt;&gt;"", H146,
    COUNT(G146,I146)=2, (G146 + (DATEDIF(G146,I146,"d")*0.5)),
    COUNT(G146,J146)=2, (G146 + (DATEDIF(G146,J146,"d")*0.25)),
    COUNT(G146,K146)=2, (G146 + ((DATEDIF(G146,K146,"d")-90)*0.25)),
    COUNT(I146,J146)=2, (I146 -(DATEDIF(I146,J146,"d")*0.5)),
    COUNT(I146,K146)=2, (I146 -((DATEDIF(I146,K146,"d")-90)*0.5)),
    G146&lt;&gt;"", EDATE(G146, + L146*0.25),
    I146&lt;&gt;"", EDATE(I146, - L146*0.25),
    J146&lt;&gt;"", EDATE(J146, - L146*0.75),
    K146&lt;&gt;"", EDATE(K146, -((L146*0.75)+3)),
    TRUE, ""
)</f>
        <v/>
      </c>
      <c r="O146" s="45" t="str" cm="1">
        <f t="array" ref="O146">_xlfn.IFS(
    I146&lt;&gt;"", I146,
    COUNT(H146,J146)=2, (H146 + (DATEDIF(H146,J146,"d")*0.33)),
    COUNT(H146,K146)=2, (H146 + ((DATEDIF(H146,K146,"d")-90)*0.33)),
    COUNT(G146,J146)=2, (G146 +  DATEDIF(G146,J146,"d")*0.5),
    COUNT(G146,K146)=2, (G146 + (DATEDIF(G146,K146,"d")-90)*0.5),
    G146&lt;&gt;"", EDATE(G146, + L146*0.5),
    H146&lt;&gt;"", EDATE(H146, + L146*0.25),
    J146&lt;&gt;"", EDATE(J146, - L146*0.5),
    K146&lt;&gt;"", EDATE(K146, -((L146*0.5)+3)),
    TRUE, ""
)</f>
        <v/>
      </c>
      <c r="P146" s="45" t="str" cm="1">
        <f t="array" ref="P146">_xlfn.IFS(
    J146&lt;&gt;"", J146,
    K146&lt;&gt;"", EDATE(K146, -3),
    G146&lt;&gt;"", EDATE(G146, + L146),
    H146&lt;&gt;"", EDATE(H146, + L146*0.75),
    I146&lt;&gt;"", EDATE(I146, H L146*0.5),
    TRUE, ""
)</f>
        <v/>
      </c>
      <c r="Q146" s="45" t="str" cm="1">
        <f t="array" ref="Q146">_xlfn.IFS(
    K146&lt;&gt;"",K146,
    J146&lt;&gt;"",EDATE(J146,3),
    P146&lt;&gt;"",EDATE(P146,3),
    TRUE,""
)</f>
        <v/>
      </c>
    </row>
    <row r="147" spans="1:17" x14ac:dyDescent="0.3">
      <c r="A147" t="str">
        <f>IF(AND(Projects!A156="", Projects!B156=""), "", IF(Projects!A156="", "Unassigned", Projects!A156))</f>
        <v/>
      </c>
      <c r="B147" t="str">
        <f>IF(Projects!B156&lt;&gt;"",Projects!B156,"")</f>
        <v/>
      </c>
      <c r="C147" t="str">
        <f>IF(AND(Projects!C156="", Projects!B156=""), "", IF(Projects!C156="", "None", Projects!C156))</f>
        <v/>
      </c>
      <c r="D147" t="str">
        <f>IF(AND(Projects!D156="", Projects!B156=""), "", IF(Projects!D156="", "No OpCo", Projects!D156))</f>
        <v/>
      </c>
      <c r="E147" t="str">
        <f>IF(Projects!E156&lt;&gt;"",Projects!E156,"")</f>
        <v/>
      </c>
      <c r="F147" t="str">
        <f>IF(Projects!F156&lt;&gt;"",Projects!F156,"")</f>
        <v/>
      </c>
      <c r="G147" s="45" t="str">
        <f>IF(Projects!G156&lt;&gt;"",Projects!G156,"")</f>
        <v/>
      </c>
      <c r="H147" s="45" t="str">
        <f>IF(Projects!H156&lt;&gt;"",Projects!H156,"")</f>
        <v/>
      </c>
      <c r="I147" s="45" t="str">
        <f>IF(Projects!I156&lt;&gt;"",Projects!I156,"")</f>
        <v/>
      </c>
      <c r="J147" s="45" t="str">
        <f>IF(Projects!J156&lt;&gt;"",Projects!J156,"")</f>
        <v/>
      </c>
      <c r="K147" s="45" t="str">
        <f>IF(Projects!K156&lt;&gt;"",Projects!K156,"")</f>
        <v/>
      </c>
      <c r="L147" t="str">
        <f>IF(AND(Projects!E156&lt;&gt;"", Projects!F156&lt;&gt;""),
INDEX('Duration Table'!$D$7:$H$17,MATCH(Projects!E156,'Duration Table'!$C$7:$C$17,0),MATCH(Projects!F156,'Duration Table'!$D$6:$H$6)),
   ""
)</f>
        <v/>
      </c>
      <c r="M147" s="45" t="str" cm="1">
        <f t="array" ref="M147">_xlfn.IFS(
    G147&lt;&gt;"",G147,
    H147&lt;&gt;"",EDATE(H147,-0.25*L147),
    N147&lt;&gt;"",EDATE(N147,-0.25*L147),
    TRUE,""
)</f>
        <v/>
      </c>
      <c r="N147" s="45" t="str" cm="1">
        <f t="array" ref="N147">_xlfn.IFS(
    H147&lt;&gt;"", H147,
    COUNT(G147,I147)=2, (G147 + (DATEDIF(G147,I147,"d")*0.5)),
    COUNT(G147,J147)=2, (G147 + (DATEDIF(G147,J147,"d")*0.25)),
    COUNT(G147,K147)=2, (G147 + ((DATEDIF(G147,K147,"d")-90)*0.25)),
    COUNT(I147,J147)=2, (I147 -(DATEDIF(I147,J147,"d")*0.5)),
    COUNT(I147,K147)=2, (I147 -((DATEDIF(I147,K147,"d")-90)*0.5)),
    G147&lt;&gt;"", EDATE(G147, + L147*0.25),
    I147&lt;&gt;"", EDATE(I147, - L147*0.25),
    J147&lt;&gt;"", EDATE(J147, - L147*0.75),
    K147&lt;&gt;"", EDATE(K147, -((L147*0.75)+3)),
    TRUE, ""
)</f>
        <v/>
      </c>
      <c r="O147" s="45" t="str" cm="1">
        <f t="array" ref="O147">_xlfn.IFS(
    I147&lt;&gt;"", I147,
    COUNT(H147,J147)=2, (H147 + (DATEDIF(H147,J147,"d")*0.33)),
    COUNT(H147,K147)=2, (H147 + ((DATEDIF(H147,K147,"d")-90)*0.33)),
    COUNT(G147,J147)=2, (G147 +  DATEDIF(G147,J147,"d")*0.5),
    COUNT(G147,K147)=2, (G147 + (DATEDIF(G147,K147,"d")-90)*0.5),
    G147&lt;&gt;"", EDATE(G147, + L147*0.5),
    H147&lt;&gt;"", EDATE(H147, + L147*0.25),
    J147&lt;&gt;"", EDATE(J147, - L147*0.5),
    K147&lt;&gt;"", EDATE(K147, -((L147*0.5)+3)),
    TRUE, ""
)</f>
        <v/>
      </c>
      <c r="P147" s="45" t="str" cm="1">
        <f t="array" ref="P147">_xlfn.IFS(
    J147&lt;&gt;"", J147,
    K147&lt;&gt;"", EDATE(K147, -3),
    G147&lt;&gt;"", EDATE(G147, + L147),
    H147&lt;&gt;"", EDATE(H147, + L147*0.75),
    I147&lt;&gt;"", EDATE(I147, H L147*0.5),
    TRUE, ""
)</f>
        <v/>
      </c>
      <c r="Q147" s="45" t="str" cm="1">
        <f t="array" ref="Q147">_xlfn.IFS(
    K147&lt;&gt;"",K147,
    J147&lt;&gt;"",EDATE(J147,3),
    P147&lt;&gt;"",EDATE(P147,3),
    TRUE,""
)</f>
        <v/>
      </c>
    </row>
    <row r="148" spans="1:17" x14ac:dyDescent="0.3">
      <c r="A148" t="str">
        <f>IF(AND(Projects!A157="", Projects!B157=""), "", IF(Projects!A157="", "Unassigned", Projects!A157))</f>
        <v/>
      </c>
      <c r="B148" t="str">
        <f>IF(Projects!B157&lt;&gt;"",Projects!B157,"")</f>
        <v/>
      </c>
      <c r="C148" t="str">
        <f>IF(AND(Projects!C157="", Projects!B157=""), "", IF(Projects!C157="", "None", Projects!C157))</f>
        <v/>
      </c>
      <c r="D148" t="str">
        <f>IF(AND(Projects!D157="", Projects!B157=""), "", IF(Projects!D157="", "No OpCo", Projects!D157))</f>
        <v/>
      </c>
      <c r="E148" t="str">
        <f>IF(Projects!E157&lt;&gt;"",Projects!E157,"")</f>
        <v/>
      </c>
      <c r="F148" t="str">
        <f>IF(Projects!F157&lt;&gt;"",Projects!F157,"")</f>
        <v/>
      </c>
      <c r="G148" s="45" t="str">
        <f>IF(Projects!G157&lt;&gt;"",Projects!G157,"")</f>
        <v/>
      </c>
      <c r="H148" s="45" t="str">
        <f>IF(Projects!H157&lt;&gt;"",Projects!H157,"")</f>
        <v/>
      </c>
      <c r="I148" s="45" t="str">
        <f>IF(Projects!I157&lt;&gt;"",Projects!I157,"")</f>
        <v/>
      </c>
      <c r="J148" s="45" t="str">
        <f>IF(Projects!J157&lt;&gt;"",Projects!J157,"")</f>
        <v/>
      </c>
      <c r="K148" s="45" t="str">
        <f>IF(Projects!K157&lt;&gt;"",Projects!K157,"")</f>
        <v/>
      </c>
      <c r="L148" t="str">
        <f>IF(AND(Projects!E157&lt;&gt;"", Projects!F157&lt;&gt;""),
INDEX('Duration Table'!$D$7:$H$17,MATCH(Projects!E157,'Duration Table'!$C$7:$C$17,0),MATCH(Projects!F157,'Duration Table'!$D$6:$H$6)),
   ""
)</f>
        <v/>
      </c>
      <c r="M148" s="45" t="str" cm="1">
        <f t="array" ref="M148">_xlfn.IFS(
    G148&lt;&gt;"",G148,
    H148&lt;&gt;"",EDATE(H148,-0.25*L148),
    N148&lt;&gt;"",EDATE(N148,-0.25*L148),
    TRUE,""
)</f>
        <v/>
      </c>
      <c r="N148" s="45" t="str" cm="1">
        <f t="array" ref="N148">_xlfn.IFS(
    H148&lt;&gt;"", H148,
    COUNT(G148,I148)=2, (G148 + (DATEDIF(G148,I148,"d")*0.5)),
    COUNT(G148,J148)=2, (G148 + (DATEDIF(G148,J148,"d")*0.25)),
    COUNT(G148,K148)=2, (G148 + ((DATEDIF(G148,K148,"d")-90)*0.25)),
    COUNT(I148,J148)=2, (I148 -(DATEDIF(I148,J148,"d")*0.5)),
    COUNT(I148,K148)=2, (I148 -((DATEDIF(I148,K148,"d")-90)*0.5)),
    G148&lt;&gt;"", EDATE(G148, + L148*0.25),
    I148&lt;&gt;"", EDATE(I148, - L148*0.25),
    J148&lt;&gt;"", EDATE(J148, - L148*0.75),
    K148&lt;&gt;"", EDATE(K148, -((L148*0.75)+3)),
    TRUE, ""
)</f>
        <v/>
      </c>
      <c r="O148" s="45" t="str" cm="1">
        <f t="array" ref="O148">_xlfn.IFS(
    I148&lt;&gt;"", I148,
    COUNT(H148,J148)=2, (H148 + (DATEDIF(H148,J148,"d")*0.33)),
    COUNT(H148,K148)=2, (H148 + ((DATEDIF(H148,K148,"d")-90)*0.33)),
    COUNT(G148,J148)=2, (G148 +  DATEDIF(G148,J148,"d")*0.5),
    COUNT(G148,K148)=2, (G148 + (DATEDIF(G148,K148,"d")-90)*0.5),
    G148&lt;&gt;"", EDATE(G148, + L148*0.5),
    H148&lt;&gt;"", EDATE(H148, + L148*0.25),
    J148&lt;&gt;"", EDATE(J148, - L148*0.5),
    K148&lt;&gt;"", EDATE(K148, -((L148*0.5)+3)),
    TRUE, ""
)</f>
        <v/>
      </c>
      <c r="P148" s="45" t="str" cm="1">
        <f t="array" ref="P148">_xlfn.IFS(
    J148&lt;&gt;"", J148,
    K148&lt;&gt;"", EDATE(K148, -3),
    G148&lt;&gt;"", EDATE(G148, + L148),
    H148&lt;&gt;"", EDATE(H148, + L148*0.75),
    I148&lt;&gt;"", EDATE(I148, H L148*0.5),
    TRUE, ""
)</f>
        <v/>
      </c>
      <c r="Q148" s="45" t="str" cm="1">
        <f t="array" ref="Q148">_xlfn.IFS(
    K148&lt;&gt;"",K148,
    J148&lt;&gt;"",EDATE(J148,3),
    P148&lt;&gt;"",EDATE(P148,3),
    TRUE,""
)</f>
        <v/>
      </c>
    </row>
    <row r="149" spans="1:17" x14ac:dyDescent="0.3">
      <c r="A149" t="str">
        <f>IF(AND(Projects!A158="", Projects!B158=""), "", IF(Projects!A158="", "Unassigned", Projects!A158))</f>
        <v/>
      </c>
      <c r="B149" t="str">
        <f>IF(Projects!B158&lt;&gt;"",Projects!B158,"")</f>
        <v/>
      </c>
      <c r="C149" t="str">
        <f>IF(AND(Projects!C158="", Projects!B158=""), "", IF(Projects!C158="", "None", Projects!C158))</f>
        <v/>
      </c>
      <c r="D149" t="str">
        <f>IF(AND(Projects!D158="", Projects!B158=""), "", IF(Projects!D158="", "No OpCo", Projects!D158))</f>
        <v/>
      </c>
      <c r="E149" t="str">
        <f>IF(Projects!E158&lt;&gt;"",Projects!E158,"")</f>
        <v/>
      </c>
      <c r="F149" t="str">
        <f>IF(Projects!F158&lt;&gt;"",Projects!F158,"")</f>
        <v/>
      </c>
      <c r="G149" s="45" t="str">
        <f>IF(Projects!G158&lt;&gt;"",Projects!G158,"")</f>
        <v/>
      </c>
      <c r="H149" s="45" t="str">
        <f>IF(Projects!H158&lt;&gt;"",Projects!H158,"")</f>
        <v/>
      </c>
      <c r="I149" s="45" t="str">
        <f>IF(Projects!I158&lt;&gt;"",Projects!I158,"")</f>
        <v/>
      </c>
      <c r="J149" s="45" t="str">
        <f>IF(Projects!J158&lt;&gt;"",Projects!J158,"")</f>
        <v/>
      </c>
      <c r="K149" s="45" t="str">
        <f>IF(Projects!K158&lt;&gt;"",Projects!K158,"")</f>
        <v/>
      </c>
      <c r="L149" t="str">
        <f>IF(AND(Projects!E158&lt;&gt;"", Projects!F158&lt;&gt;""),
INDEX('Duration Table'!$D$7:$H$17,MATCH(Projects!E158,'Duration Table'!$C$7:$C$17,0),MATCH(Projects!F158,'Duration Table'!$D$6:$H$6)),
   ""
)</f>
        <v/>
      </c>
      <c r="M149" s="45" t="str" cm="1">
        <f t="array" ref="M149">_xlfn.IFS(
    G149&lt;&gt;"",G149,
    H149&lt;&gt;"",EDATE(H149,-0.25*L149),
    N149&lt;&gt;"",EDATE(N149,-0.25*L149),
    TRUE,""
)</f>
        <v/>
      </c>
      <c r="N149" s="45" t="str" cm="1">
        <f t="array" ref="N149">_xlfn.IFS(
    H149&lt;&gt;"", H149,
    COUNT(G149,I149)=2, (G149 + (DATEDIF(G149,I149,"d")*0.5)),
    COUNT(G149,J149)=2, (G149 + (DATEDIF(G149,J149,"d")*0.25)),
    COUNT(G149,K149)=2, (G149 + ((DATEDIF(G149,K149,"d")-90)*0.25)),
    COUNT(I149,J149)=2, (I149 -(DATEDIF(I149,J149,"d")*0.5)),
    COUNT(I149,K149)=2, (I149 -((DATEDIF(I149,K149,"d")-90)*0.5)),
    G149&lt;&gt;"", EDATE(G149, + L149*0.25),
    I149&lt;&gt;"", EDATE(I149, - L149*0.25),
    J149&lt;&gt;"", EDATE(J149, - L149*0.75),
    K149&lt;&gt;"", EDATE(K149, -((L149*0.75)+3)),
    TRUE, ""
)</f>
        <v/>
      </c>
      <c r="O149" s="45" t="str" cm="1">
        <f t="array" ref="O149">_xlfn.IFS(
    I149&lt;&gt;"", I149,
    COUNT(H149,J149)=2, (H149 + (DATEDIF(H149,J149,"d")*0.33)),
    COUNT(H149,K149)=2, (H149 + ((DATEDIF(H149,K149,"d")-90)*0.33)),
    COUNT(G149,J149)=2, (G149 +  DATEDIF(G149,J149,"d")*0.5),
    COUNT(G149,K149)=2, (G149 + (DATEDIF(G149,K149,"d")-90)*0.5),
    G149&lt;&gt;"", EDATE(G149, + L149*0.5),
    H149&lt;&gt;"", EDATE(H149, + L149*0.25),
    J149&lt;&gt;"", EDATE(J149, - L149*0.5),
    K149&lt;&gt;"", EDATE(K149, -((L149*0.5)+3)),
    TRUE, ""
)</f>
        <v/>
      </c>
      <c r="P149" s="45" t="str" cm="1">
        <f t="array" ref="P149">_xlfn.IFS(
    J149&lt;&gt;"", J149,
    K149&lt;&gt;"", EDATE(K149, -3),
    G149&lt;&gt;"", EDATE(G149, + L149),
    H149&lt;&gt;"", EDATE(H149, + L149*0.75),
    I149&lt;&gt;"", EDATE(I149, H L149*0.5),
    TRUE, ""
)</f>
        <v/>
      </c>
      <c r="Q149" s="45" t="str" cm="1">
        <f t="array" ref="Q149">_xlfn.IFS(
    K149&lt;&gt;"",K149,
    J149&lt;&gt;"",EDATE(J149,3),
    P149&lt;&gt;"",EDATE(P149,3),
    TRUE,""
)</f>
        <v/>
      </c>
    </row>
    <row r="150" spans="1:17" x14ac:dyDescent="0.3">
      <c r="A150" t="str">
        <f>IF(AND(Projects!A159="", Projects!B159=""), "", IF(Projects!A159="", "Unassigned", Projects!A159))</f>
        <v/>
      </c>
      <c r="B150" t="str">
        <f>IF(Projects!B159&lt;&gt;"",Projects!B159,"")</f>
        <v/>
      </c>
      <c r="C150" t="str">
        <f>IF(AND(Projects!C159="", Projects!B159=""), "", IF(Projects!C159="", "None", Projects!C159))</f>
        <v/>
      </c>
      <c r="D150" t="str">
        <f>IF(AND(Projects!D159="", Projects!B159=""), "", IF(Projects!D159="", "No OpCo", Projects!D159))</f>
        <v/>
      </c>
      <c r="E150" t="str">
        <f>IF(Projects!E159&lt;&gt;"",Projects!E159,"")</f>
        <v/>
      </c>
      <c r="F150" t="str">
        <f>IF(Projects!F159&lt;&gt;"",Projects!F159,"")</f>
        <v/>
      </c>
      <c r="G150" s="45" t="str">
        <f>IF(Projects!G159&lt;&gt;"",Projects!G159,"")</f>
        <v/>
      </c>
      <c r="H150" s="45" t="str">
        <f>IF(Projects!H159&lt;&gt;"",Projects!H159,"")</f>
        <v/>
      </c>
      <c r="I150" s="45" t="str">
        <f>IF(Projects!I159&lt;&gt;"",Projects!I159,"")</f>
        <v/>
      </c>
      <c r="J150" s="45" t="str">
        <f>IF(Projects!J159&lt;&gt;"",Projects!J159,"")</f>
        <v/>
      </c>
      <c r="K150" s="45" t="str">
        <f>IF(Projects!K159&lt;&gt;"",Projects!K159,"")</f>
        <v/>
      </c>
      <c r="L150" t="str">
        <f>IF(AND(Projects!E159&lt;&gt;"", Projects!F159&lt;&gt;""),
INDEX('Duration Table'!$D$7:$H$17,MATCH(Projects!E159,'Duration Table'!$C$7:$C$17,0),MATCH(Projects!F159,'Duration Table'!$D$6:$H$6)),
   ""
)</f>
        <v/>
      </c>
      <c r="M150" s="45" t="str" cm="1">
        <f t="array" ref="M150">_xlfn.IFS(
    G150&lt;&gt;"",G150,
    H150&lt;&gt;"",EDATE(H150,-0.25*L150),
    N150&lt;&gt;"",EDATE(N150,-0.25*L150),
    TRUE,""
)</f>
        <v/>
      </c>
      <c r="N150" s="45" t="str" cm="1">
        <f t="array" ref="N150">_xlfn.IFS(
    H150&lt;&gt;"", H150,
    COUNT(G150,I150)=2, (G150 + (DATEDIF(G150,I150,"d")*0.5)),
    COUNT(G150,J150)=2, (G150 + (DATEDIF(G150,J150,"d")*0.25)),
    COUNT(G150,K150)=2, (G150 + ((DATEDIF(G150,K150,"d")-90)*0.25)),
    COUNT(I150,J150)=2, (I150 -(DATEDIF(I150,J150,"d")*0.5)),
    COUNT(I150,K150)=2, (I150 -((DATEDIF(I150,K150,"d")-90)*0.5)),
    G150&lt;&gt;"", EDATE(G150, + L150*0.25),
    I150&lt;&gt;"", EDATE(I150, - L150*0.25),
    J150&lt;&gt;"", EDATE(J150, - L150*0.75),
    K150&lt;&gt;"", EDATE(K150, -((L150*0.75)+3)),
    TRUE, ""
)</f>
        <v/>
      </c>
      <c r="O150" s="45" t="str" cm="1">
        <f t="array" ref="O150">_xlfn.IFS(
    I150&lt;&gt;"", I150,
    COUNT(H150,J150)=2, (H150 + (DATEDIF(H150,J150,"d")*0.33)),
    COUNT(H150,K150)=2, (H150 + ((DATEDIF(H150,K150,"d")-90)*0.33)),
    COUNT(G150,J150)=2, (G150 +  DATEDIF(G150,J150,"d")*0.5),
    COUNT(G150,K150)=2, (G150 + (DATEDIF(G150,K150,"d")-90)*0.5),
    G150&lt;&gt;"", EDATE(G150, + L150*0.5),
    H150&lt;&gt;"", EDATE(H150, + L150*0.25),
    J150&lt;&gt;"", EDATE(J150, - L150*0.5),
    K150&lt;&gt;"", EDATE(K150, -((L150*0.5)+3)),
    TRUE, ""
)</f>
        <v/>
      </c>
      <c r="P150" s="45" t="str" cm="1">
        <f t="array" ref="P150">_xlfn.IFS(
    J150&lt;&gt;"", J150,
    K150&lt;&gt;"", EDATE(K150, -3),
    G150&lt;&gt;"", EDATE(G150, + L150),
    H150&lt;&gt;"", EDATE(H150, + L150*0.75),
    I150&lt;&gt;"", EDATE(I150, H L150*0.5),
    TRUE, ""
)</f>
        <v/>
      </c>
      <c r="Q150" s="45" t="str" cm="1">
        <f t="array" ref="Q150">_xlfn.IFS(
    K150&lt;&gt;"",K150,
    J150&lt;&gt;"",EDATE(J150,3),
    P150&lt;&gt;"",EDATE(P150,3),
    TRUE,""
)</f>
        <v/>
      </c>
    </row>
    <row r="151" spans="1:17" x14ac:dyDescent="0.3">
      <c r="A151" t="str">
        <f>IF(AND(Projects!A160="", Projects!B160=""), "", IF(Projects!A160="", "Unassigned", Projects!A160))</f>
        <v/>
      </c>
      <c r="B151" t="str">
        <f>IF(Projects!B160&lt;&gt;"",Projects!B160,"")</f>
        <v/>
      </c>
      <c r="C151" t="str">
        <f>IF(AND(Projects!C160="", Projects!B160=""), "", IF(Projects!C160="", "None", Projects!C160))</f>
        <v/>
      </c>
      <c r="D151" t="str">
        <f>IF(AND(Projects!D160="", Projects!B160=""), "", IF(Projects!D160="", "No OpCo", Projects!D160))</f>
        <v/>
      </c>
      <c r="E151" t="str">
        <f>IF(Projects!E160&lt;&gt;"",Projects!E160,"")</f>
        <v/>
      </c>
      <c r="F151" t="str">
        <f>IF(Projects!F160&lt;&gt;"",Projects!F160,"")</f>
        <v/>
      </c>
      <c r="G151" s="45" t="str">
        <f>IF(Projects!G160&lt;&gt;"",Projects!G160,"")</f>
        <v/>
      </c>
      <c r="H151" s="45" t="str">
        <f>IF(Projects!H160&lt;&gt;"",Projects!H160,"")</f>
        <v/>
      </c>
      <c r="I151" s="45" t="str">
        <f>IF(Projects!I160&lt;&gt;"",Projects!I160,"")</f>
        <v/>
      </c>
      <c r="J151" s="45" t="str">
        <f>IF(Projects!J160&lt;&gt;"",Projects!J160,"")</f>
        <v/>
      </c>
      <c r="K151" s="45" t="str">
        <f>IF(Projects!K160&lt;&gt;"",Projects!K160,"")</f>
        <v/>
      </c>
      <c r="L151" t="str">
        <f>IF(AND(Projects!E160&lt;&gt;"", Projects!F160&lt;&gt;""),
INDEX('Duration Table'!$D$7:$H$17,MATCH(Projects!E160,'Duration Table'!$C$7:$C$17,0),MATCH(Projects!F160,'Duration Table'!$D$6:$H$6)),
   ""
)</f>
        <v/>
      </c>
      <c r="M151" s="45" t="str" cm="1">
        <f t="array" ref="M151">_xlfn.IFS(
    G151&lt;&gt;"",G151,
    H151&lt;&gt;"",EDATE(H151,-0.25*L151),
    N151&lt;&gt;"",EDATE(N151,-0.25*L151),
    TRUE,""
)</f>
        <v/>
      </c>
      <c r="N151" s="45" t="str" cm="1">
        <f t="array" ref="N151">_xlfn.IFS(
    H151&lt;&gt;"", H151,
    COUNT(G151,I151)=2, (G151 + (DATEDIF(G151,I151,"d")*0.5)),
    COUNT(G151,J151)=2, (G151 + (DATEDIF(G151,J151,"d")*0.25)),
    COUNT(G151,K151)=2, (G151 + ((DATEDIF(G151,K151,"d")-90)*0.25)),
    COUNT(I151,J151)=2, (I151 -(DATEDIF(I151,J151,"d")*0.5)),
    COUNT(I151,K151)=2, (I151 -((DATEDIF(I151,K151,"d")-90)*0.5)),
    G151&lt;&gt;"", EDATE(G151, + L151*0.25),
    I151&lt;&gt;"", EDATE(I151, - L151*0.25),
    J151&lt;&gt;"", EDATE(J151, - L151*0.75),
    K151&lt;&gt;"", EDATE(K151, -((L151*0.75)+3)),
    TRUE, ""
)</f>
        <v/>
      </c>
      <c r="O151" s="45" t="str" cm="1">
        <f t="array" ref="O151">_xlfn.IFS(
    I151&lt;&gt;"", I151,
    COUNT(H151,J151)=2, (H151 + (DATEDIF(H151,J151,"d")*0.33)),
    COUNT(H151,K151)=2, (H151 + ((DATEDIF(H151,K151,"d")-90)*0.33)),
    COUNT(G151,J151)=2, (G151 +  DATEDIF(G151,J151,"d")*0.5),
    COUNT(G151,K151)=2, (G151 + (DATEDIF(G151,K151,"d")-90)*0.5),
    G151&lt;&gt;"", EDATE(G151, + L151*0.5),
    H151&lt;&gt;"", EDATE(H151, + L151*0.25),
    J151&lt;&gt;"", EDATE(J151, - L151*0.5),
    K151&lt;&gt;"", EDATE(K151, -((L151*0.5)+3)),
    TRUE, ""
)</f>
        <v/>
      </c>
      <c r="P151" s="45" t="str" cm="1">
        <f t="array" ref="P151">_xlfn.IFS(
    J151&lt;&gt;"", J151,
    K151&lt;&gt;"", EDATE(K151, -3),
    G151&lt;&gt;"", EDATE(G151, + L151),
    H151&lt;&gt;"", EDATE(H151, + L151*0.75),
    I151&lt;&gt;"", EDATE(I151, H L151*0.5),
    TRUE, ""
)</f>
        <v/>
      </c>
      <c r="Q151" s="45" t="str" cm="1">
        <f t="array" ref="Q151">_xlfn.IFS(
    K151&lt;&gt;"",K151,
    J151&lt;&gt;"",EDATE(J151,3),
    P151&lt;&gt;"",EDATE(P151,3),
    TRUE,""
)</f>
        <v/>
      </c>
    </row>
    <row r="152" spans="1:17" x14ac:dyDescent="0.3">
      <c r="A152" t="str">
        <f>IF(AND(Projects!A161="", Projects!B161=""), "", IF(Projects!A161="", "Unassigned", Projects!A161))</f>
        <v/>
      </c>
      <c r="B152" t="str">
        <f>IF(Projects!B161&lt;&gt;"",Projects!B161,"")</f>
        <v/>
      </c>
      <c r="C152" t="str">
        <f>IF(AND(Projects!C161="", Projects!B161=""), "", IF(Projects!C161="", "None", Projects!C161))</f>
        <v/>
      </c>
      <c r="D152" t="str">
        <f>IF(AND(Projects!D161="", Projects!B161=""), "", IF(Projects!D161="", "No OpCo", Projects!D161))</f>
        <v/>
      </c>
      <c r="E152" t="str">
        <f>IF(Projects!E161&lt;&gt;"",Projects!E161,"")</f>
        <v/>
      </c>
      <c r="F152" t="str">
        <f>IF(Projects!F161&lt;&gt;"",Projects!F161,"")</f>
        <v/>
      </c>
      <c r="G152" s="45" t="str">
        <f>IF(Projects!G161&lt;&gt;"",Projects!G161,"")</f>
        <v/>
      </c>
      <c r="H152" s="45" t="str">
        <f>IF(Projects!H161&lt;&gt;"",Projects!H161,"")</f>
        <v/>
      </c>
      <c r="I152" s="45" t="str">
        <f>IF(Projects!I161&lt;&gt;"",Projects!I161,"")</f>
        <v/>
      </c>
      <c r="J152" s="45" t="str">
        <f>IF(Projects!J161&lt;&gt;"",Projects!J161,"")</f>
        <v/>
      </c>
      <c r="K152" s="45" t="str">
        <f>IF(Projects!K161&lt;&gt;"",Projects!K161,"")</f>
        <v/>
      </c>
      <c r="L152" t="str">
        <f>IF(AND(Projects!E161&lt;&gt;"", Projects!F161&lt;&gt;""),
INDEX('Duration Table'!$D$7:$H$17,MATCH(Projects!E161,'Duration Table'!$C$7:$C$17,0),MATCH(Projects!F161,'Duration Table'!$D$6:$H$6)),
   ""
)</f>
        <v/>
      </c>
      <c r="M152" s="45" t="str" cm="1">
        <f t="array" ref="M152">_xlfn.IFS(
    G152&lt;&gt;"",G152,
    H152&lt;&gt;"",EDATE(H152,-0.25*L152),
    N152&lt;&gt;"",EDATE(N152,-0.25*L152),
    TRUE,""
)</f>
        <v/>
      </c>
      <c r="N152" s="45" t="str" cm="1">
        <f t="array" ref="N152">_xlfn.IFS(
    H152&lt;&gt;"", H152,
    COUNT(G152,I152)=2, (G152 + (DATEDIF(G152,I152,"d")*0.5)),
    COUNT(G152,J152)=2, (G152 + (DATEDIF(G152,J152,"d")*0.25)),
    COUNT(G152,K152)=2, (G152 + ((DATEDIF(G152,K152,"d")-90)*0.25)),
    COUNT(I152,J152)=2, (I152 -(DATEDIF(I152,J152,"d")*0.5)),
    COUNT(I152,K152)=2, (I152 -((DATEDIF(I152,K152,"d")-90)*0.5)),
    G152&lt;&gt;"", EDATE(G152, + L152*0.25),
    I152&lt;&gt;"", EDATE(I152, - L152*0.25),
    J152&lt;&gt;"", EDATE(J152, - L152*0.75),
    K152&lt;&gt;"", EDATE(K152, -((L152*0.75)+3)),
    TRUE, ""
)</f>
        <v/>
      </c>
      <c r="O152" s="45" t="str" cm="1">
        <f t="array" ref="O152">_xlfn.IFS(
    I152&lt;&gt;"", I152,
    COUNT(H152,J152)=2, (H152 + (DATEDIF(H152,J152,"d")*0.33)),
    COUNT(H152,K152)=2, (H152 + ((DATEDIF(H152,K152,"d")-90)*0.33)),
    COUNT(G152,J152)=2, (G152 +  DATEDIF(G152,J152,"d")*0.5),
    COUNT(G152,K152)=2, (G152 + (DATEDIF(G152,K152,"d")-90)*0.5),
    G152&lt;&gt;"", EDATE(G152, + L152*0.5),
    H152&lt;&gt;"", EDATE(H152, + L152*0.25),
    J152&lt;&gt;"", EDATE(J152, - L152*0.5),
    K152&lt;&gt;"", EDATE(K152, -((L152*0.5)+3)),
    TRUE, ""
)</f>
        <v/>
      </c>
      <c r="P152" s="45" t="str" cm="1">
        <f t="array" ref="P152">_xlfn.IFS(
    J152&lt;&gt;"", J152,
    K152&lt;&gt;"", EDATE(K152, -3),
    G152&lt;&gt;"", EDATE(G152, + L152),
    H152&lt;&gt;"", EDATE(H152, + L152*0.75),
    I152&lt;&gt;"", EDATE(I152, H L152*0.5),
    TRUE, ""
)</f>
        <v/>
      </c>
      <c r="Q152" s="45" t="str" cm="1">
        <f t="array" ref="Q152">_xlfn.IFS(
    K152&lt;&gt;"",K152,
    J152&lt;&gt;"",EDATE(J152,3),
    P152&lt;&gt;"",EDATE(P152,3),
    TRUE,""
)</f>
        <v/>
      </c>
    </row>
    <row r="153" spans="1:17" x14ac:dyDescent="0.3">
      <c r="A153" t="str">
        <f>IF(AND(Projects!A162="", Projects!B162=""), "", IF(Projects!A162="", "Unassigned", Projects!A162))</f>
        <v/>
      </c>
      <c r="B153" t="str">
        <f>IF(Projects!B162&lt;&gt;"",Projects!B162,"")</f>
        <v/>
      </c>
      <c r="C153" t="str">
        <f>IF(AND(Projects!C162="", Projects!B162=""), "", IF(Projects!C162="", "None", Projects!C162))</f>
        <v/>
      </c>
      <c r="D153" t="str">
        <f>IF(AND(Projects!D162="", Projects!B162=""), "", IF(Projects!D162="", "No OpCo", Projects!D162))</f>
        <v/>
      </c>
      <c r="E153" t="str">
        <f>IF(Projects!E162&lt;&gt;"",Projects!E162,"")</f>
        <v/>
      </c>
      <c r="F153" t="str">
        <f>IF(Projects!F162&lt;&gt;"",Projects!F162,"")</f>
        <v/>
      </c>
      <c r="G153" s="45" t="str">
        <f>IF(Projects!G162&lt;&gt;"",Projects!G162,"")</f>
        <v/>
      </c>
      <c r="H153" s="45" t="str">
        <f>IF(Projects!H162&lt;&gt;"",Projects!H162,"")</f>
        <v/>
      </c>
      <c r="I153" s="45" t="str">
        <f>IF(Projects!I162&lt;&gt;"",Projects!I162,"")</f>
        <v/>
      </c>
      <c r="J153" s="45" t="str">
        <f>IF(Projects!J162&lt;&gt;"",Projects!J162,"")</f>
        <v/>
      </c>
      <c r="K153" s="45" t="str">
        <f>IF(Projects!K162&lt;&gt;"",Projects!K162,"")</f>
        <v/>
      </c>
      <c r="L153" t="str">
        <f>IF(AND(Projects!E162&lt;&gt;"", Projects!F162&lt;&gt;""),
INDEX('Duration Table'!$D$7:$H$17,MATCH(Projects!E162,'Duration Table'!$C$7:$C$17,0),MATCH(Projects!F162,'Duration Table'!$D$6:$H$6)),
   ""
)</f>
        <v/>
      </c>
      <c r="M153" s="45" t="str" cm="1">
        <f t="array" ref="M153">_xlfn.IFS(
    G153&lt;&gt;"",G153,
    H153&lt;&gt;"",EDATE(H153,-0.25*L153),
    N153&lt;&gt;"",EDATE(N153,-0.25*L153),
    TRUE,""
)</f>
        <v/>
      </c>
      <c r="N153" s="45" t="str" cm="1">
        <f t="array" ref="N153">_xlfn.IFS(
    H153&lt;&gt;"", H153,
    COUNT(G153,I153)=2, (G153 + (DATEDIF(G153,I153,"d")*0.5)),
    COUNT(G153,J153)=2, (G153 + (DATEDIF(G153,J153,"d")*0.25)),
    COUNT(G153,K153)=2, (G153 + ((DATEDIF(G153,K153,"d")-90)*0.25)),
    COUNT(I153,J153)=2, (I153 -(DATEDIF(I153,J153,"d")*0.5)),
    COUNT(I153,K153)=2, (I153 -((DATEDIF(I153,K153,"d")-90)*0.5)),
    G153&lt;&gt;"", EDATE(G153, + L153*0.25),
    I153&lt;&gt;"", EDATE(I153, - L153*0.25),
    J153&lt;&gt;"", EDATE(J153, - L153*0.75),
    K153&lt;&gt;"", EDATE(K153, -((L153*0.75)+3)),
    TRUE, ""
)</f>
        <v/>
      </c>
      <c r="O153" s="45" t="str" cm="1">
        <f t="array" ref="O153">_xlfn.IFS(
    I153&lt;&gt;"", I153,
    COUNT(H153,J153)=2, (H153 + (DATEDIF(H153,J153,"d")*0.33)),
    COUNT(H153,K153)=2, (H153 + ((DATEDIF(H153,K153,"d")-90)*0.33)),
    COUNT(G153,J153)=2, (G153 +  DATEDIF(G153,J153,"d")*0.5),
    COUNT(G153,K153)=2, (G153 + (DATEDIF(G153,K153,"d")-90)*0.5),
    G153&lt;&gt;"", EDATE(G153, + L153*0.5),
    H153&lt;&gt;"", EDATE(H153, + L153*0.25),
    J153&lt;&gt;"", EDATE(J153, - L153*0.5),
    K153&lt;&gt;"", EDATE(K153, -((L153*0.5)+3)),
    TRUE, ""
)</f>
        <v/>
      </c>
      <c r="P153" s="45" t="str" cm="1">
        <f t="array" ref="P153">_xlfn.IFS(
    J153&lt;&gt;"", J153,
    K153&lt;&gt;"", EDATE(K153, -3),
    G153&lt;&gt;"", EDATE(G153, + L153),
    H153&lt;&gt;"", EDATE(H153, + L153*0.75),
    I153&lt;&gt;"", EDATE(I153, H L153*0.5),
    TRUE, ""
)</f>
        <v/>
      </c>
      <c r="Q153" s="45" t="str" cm="1">
        <f t="array" ref="Q153">_xlfn.IFS(
    K153&lt;&gt;"",K153,
    J153&lt;&gt;"",EDATE(J153,3),
    P153&lt;&gt;"",EDATE(P153,3),
    TRUE,""
)</f>
        <v/>
      </c>
    </row>
    <row r="154" spans="1:17" x14ac:dyDescent="0.3">
      <c r="A154" t="str">
        <f>IF(AND(Projects!A163="", Projects!B163=""), "", IF(Projects!A163="", "Unassigned", Projects!A163))</f>
        <v/>
      </c>
      <c r="B154" t="str">
        <f>IF(Projects!B163&lt;&gt;"",Projects!B163,"")</f>
        <v/>
      </c>
      <c r="C154" t="str">
        <f>IF(AND(Projects!C163="", Projects!B163=""), "", IF(Projects!C163="", "None", Projects!C163))</f>
        <v/>
      </c>
      <c r="D154" t="str">
        <f>IF(AND(Projects!D163="", Projects!B163=""), "", IF(Projects!D163="", "No OpCo", Projects!D163))</f>
        <v/>
      </c>
      <c r="E154" t="str">
        <f>IF(Projects!E163&lt;&gt;"",Projects!E163,"")</f>
        <v/>
      </c>
      <c r="F154" t="str">
        <f>IF(Projects!F163&lt;&gt;"",Projects!F163,"")</f>
        <v/>
      </c>
      <c r="G154" s="45" t="str">
        <f>IF(Projects!G163&lt;&gt;"",Projects!G163,"")</f>
        <v/>
      </c>
      <c r="H154" s="45" t="str">
        <f>IF(Projects!H163&lt;&gt;"",Projects!H163,"")</f>
        <v/>
      </c>
      <c r="I154" s="45" t="str">
        <f>IF(Projects!I163&lt;&gt;"",Projects!I163,"")</f>
        <v/>
      </c>
      <c r="J154" s="45" t="str">
        <f>IF(Projects!J163&lt;&gt;"",Projects!J163,"")</f>
        <v/>
      </c>
      <c r="K154" s="45" t="str">
        <f>IF(Projects!K163&lt;&gt;"",Projects!K163,"")</f>
        <v/>
      </c>
      <c r="L154" t="str">
        <f>IF(AND(Projects!E163&lt;&gt;"", Projects!F163&lt;&gt;""),
INDEX('Duration Table'!$D$7:$H$17,MATCH(Projects!E163,'Duration Table'!$C$7:$C$17,0),MATCH(Projects!F163,'Duration Table'!$D$6:$H$6)),
   ""
)</f>
        <v/>
      </c>
      <c r="M154" s="45" t="str" cm="1">
        <f t="array" ref="M154">_xlfn.IFS(
    G154&lt;&gt;"",G154,
    H154&lt;&gt;"",EDATE(H154,-0.25*L154),
    N154&lt;&gt;"",EDATE(N154,-0.25*L154),
    TRUE,""
)</f>
        <v/>
      </c>
      <c r="N154" s="45" t="str" cm="1">
        <f t="array" ref="N154">_xlfn.IFS(
    H154&lt;&gt;"", H154,
    COUNT(G154,I154)=2, (G154 + (DATEDIF(G154,I154,"d")*0.5)),
    COUNT(G154,J154)=2, (G154 + (DATEDIF(G154,J154,"d")*0.25)),
    COUNT(G154,K154)=2, (G154 + ((DATEDIF(G154,K154,"d")-90)*0.25)),
    COUNT(I154,J154)=2, (I154 -(DATEDIF(I154,J154,"d")*0.5)),
    COUNT(I154,K154)=2, (I154 -((DATEDIF(I154,K154,"d")-90)*0.5)),
    G154&lt;&gt;"", EDATE(G154, + L154*0.25),
    I154&lt;&gt;"", EDATE(I154, - L154*0.25),
    J154&lt;&gt;"", EDATE(J154, - L154*0.75),
    K154&lt;&gt;"", EDATE(K154, -((L154*0.75)+3)),
    TRUE, ""
)</f>
        <v/>
      </c>
      <c r="O154" s="45" t="str" cm="1">
        <f t="array" ref="O154">_xlfn.IFS(
    I154&lt;&gt;"", I154,
    COUNT(H154,J154)=2, (H154 + (DATEDIF(H154,J154,"d")*0.33)),
    COUNT(H154,K154)=2, (H154 + ((DATEDIF(H154,K154,"d")-90)*0.33)),
    COUNT(G154,J154)=2, (G154 +  DATEDIF(G154,J154,"d")*0.5),
    COUNT(G154,K154)=2, (G154 + (DATEDIF(G154,K154,"d")-90)*0.5),
    G154&lt;&gt;"", EDATE(G154, + L154*0.5),
    H154&lt;&gt;"", EDATE(H154, + L154*0.25),
    J154&lt;&gt;"", EDATE(J154, - L154*0.5),
    K154&lt;&gt;"", EDATE(K154, -((L154*0.5)+3)),
    TRUE, ""
)</f>
        <v/>
      </c>
      <c r="P154" s="45" t="str" cm="1">
        <f t="array" ref="P154">_xlfn.IFS(
    J154&lt;&gt;"", J154,
    K154&lt;&gt;"", EDATE(K154, -3),
    G154&lt;&gt;"", EDATE(G154, + L154),
    H154&lt;&gt;"", EDATE(H154, + L154*0.75),
    I154&lt;&gt;"", EDATE(I154, H L154*0.5),
    TRUE, ""
)</f>
        <v/>
      </c>
      <c r="Q154" s="45" t="str" cm="1">
        <f t="array" ref="Q154">_xlfn.IFS(
    K154&lt;&gt;"",K154,
    J154&lt;&gt;"",EDATE(J154,3),
    P154&lt;&gt;"",EDATE(P154,3),
    TRUE,""
)</f>
        <v/>
      </c>
    </row>
    <row r="155" spans="1:17" x14ac:dyDescent="0.3">
      <c r="A155" t="str">
        <f>IF(AND(Projects!A164="", Projects!B164=""), "", IF(Projects!A164="", "Unassigned", Projects!A164))</f>
        <v/>
      </c>
      <c r="B155" t="str">
        <f>IF(Projects!B164&lt;&gt;"",Projects!B164,"")</f>
        <v/>
      </c>
      <c r="C155" t="str">
        <f>IF(AND(Projects!C164="", Projects!B164=""), "", IF(Projects!C164="", "None", Projects!C164))</f>
        <v/>
      </c>
      <c r="D155" t="str">
        <f>IF(AND(Projects!D164="", Projects!B164=""), "", IF(Projects!D164="", "No OpCo", Projects!D164))</f>
        <v/>
      </c>
      <c r="E155" t="str">
        <f>IF(Projects!E164&lt;&gt;"",Projects!E164,"")</f>
        <v/>
      </c>
      <c r="F155" t="str">
        <f>IF(Projects!F164&lt;&gt;"",Projects!F164,"")</f>
        <v/>
      </c>
      <c r="G155" s="45" t="str">
        <f>IF(Projects!G164&lt;&gt;"",Projects!G164,"")</f>
        <v/>
      </c>
      <c r="H155" s="45" t="str">
        <f>IF(Projects!H164&lt;&gt;"",Projects!H164,"")</f>
        <v/>
      </c>
      <c r="I155" s="45" t="str">
        <f>IF(Projects!I164&lt;&gt;"",Projects!I164,"")</f>
        <v/>
      </c>
      <c r="J155" s="45" t="str">
        <f>IF(Projects!J164&lt;&gt;"",Projects!J164,"")</f>
        <v/>
      </c>
      <c r="K155" s="45" t="str">
        <f>IF(Projects!K164&lt;&gt;"",Projects!K164,"")</f>
        <v/>
      </c>
      <c r="L155" t="str">
        <f>IF(AND(Projects!E164&lt;&gt;"", Projects!F164&lt;&gt;""),
INDEX('Duration Table'!$D$7:$H$17,MATCH(Projects!E164,'Duration Table'!$C$7:$C$17,0),MATCH(Projects!F164,'Duration Table'!$D$6:$H$6)),
   ""
)</f>
        <v/>
      </c>
      <c r="M155" s="45" t="str" cm="1">
        <f t="array" ref="M155">_xlfn.IFS(
    G155&lt;&gt;"",G155,
    H155&lt;&gt;"",EDATE(H155,-0.25*L155),
    N155&lt;&gt;"",EDATE(N155,-0.25*L155),
    TRUE,""
)</f>
        <v/>
      </c>
      <c r="N155" s="45" t="str" cm="1">
        <f t="array" ref="N155">_xlfn.IFS(
    H155&lt;&gt;"", H155,
    COUNT(G155,I155)=2, (G155 + (DATEDIF(G155,I155,"d")*0.5)),
    COUNT(G155,J155)=2, (G155 + (DATEDIF(G155,J155,"d")*0.25)),
    COUNT(G155,K155)=2, (G155 + ((DATEDIF(G155,K155,"d")-90)*0.25)),
    COUNT(I155,J155)=2, (I155 -(DATEDIF(I155,J155,"d")*0.5)),
    COUNT(I155,K155)=2, (I155 -((DATEDIF(I155,K155,"d")-90)*0.5)),
    G155&lt;&gt;"", EDATE(G155, + L155*0.25),
    I155&lt;&gt;"", EDATE(I155, - L155*0.25),
    J155&lt;&gt;"", EDATE(J155, - L155*0.75),
    K155&lt;&gt;"", EDATE(K155, -((L155*0.75)+3)),
    TRUE, ""
)</f>
        <v/>
      </c>
      <c r="O155" s="45" t="str" cm="1">
        <f t="array" ref="O155">_xlfn.IFS(
    I155&lt;&gt;"", I155,
    COUNT(H155,J155)=2, (H155 + (DATEDIF(H155,J155,"d")*0.33)),
    COUNT(H155,K155)=2, (H155 + ((DATEDIF(H155,K155,"d")-90)*0.33)),
    COUNT(G155,J155)=2, (G155 +  DATEDIF(G155,J155,"d")*0.5),
    COUNT(G155,K155)=2, (G155 + (DATEDIF(G155,K155,"d")-90)*0.5),
    G155&lt;&gt;"", EDATE(G155, + L155*0.5),
    H155&lt;&gt;"", EDATE(H155, + L155*0.25),
    J155&lt;&gt;"", EDATE(J155, - L155*0.5),
    K155&lt;&gt;"", EDATE(K155, -((L155*0.5)+3)),
    TRUE, ""
)</f>
        <v/>
      </c>
      <c r="P155" s="45" t="str" cm="1">
        <f t="array" ref="P155">_xlfn.IFS(
    J155&lt;&gt;"", J155,
    K155&lt;&gt;"", EDATE(K155, -3),
    G155&lt;&gt;"", EDATE(G155, + L155),
    H155&lt;&gt;"", EDATE(H155, + L155*0.75),
    I155&lt;&gt;"", EDATE(I155, H L155*0.5),
    TRUE, ""
)</f>
        <v/>
      </c>
      <c r="Q155" s="45" t="str" cm="1">
        <f t="array" ref="Q155">_xlfn.IFS(
    K155&lt;&gt;"",K155,
    J155&lt;&gt;"",EDATE(J155,3),
    P155&lt;&gt;"",EDATE(P155,3),
    TRUE,""
)</f>
        <v/>
      </c>
    </row>
    <row r="156" spans="1:17" x14ac:dyDescent="0.3">
      <c r="A156" t="str">
        <f>IF(AND(Projects!A165="", Projects!B165=""), "", IF(Projects!A165="", "Unassigned", Projects!A165))</f>
        <v/>
      </c>
      <c r="B156" t="str">
        <f>IF(Projects!B165&lt;&gt;"",Projects!B165,"")</f>
        <v/>
      </c>
      <c r="C156" t="str">
        <f>IF(AND(Projects!C165="", Projects!B165=""), "", IF(Projects!C165="", "None", Projects!C165))</f>
        <v/>
      </c>
      <c r="D156" t="str">
        <f>IF(AND(Projects!D165="", Projects!B165=""), "", IF(Projects!D165="", "No OpCo", Projects!D165))</f>
        <v/>
      </c>
      <c r="E156" t="str">
        <f>IF(Projects!E165&lt;&gt;"",Projects!E165,"")</f>
        <v/>
      </c>
      <c r="F156" t="str">
        <f>IF(Projects!F165&lt;&gt;"",Projects!F165,"")</f>
        <v/>
      </c>
      <c r="G156" s="45" t="str">
        <f>IF(Projects!G165&lt;&gt;"",Projects!G165,"")</f>
        <v/>
      </c>
      <c r="H156" s="45" t="str">
        <f>IF(Projects!H165&lt;&gt;"",Projects!H165,"")</f>
        <v/>
      </c>
      <c r="I156" s="45" t="str">
        <f>IF(Projects!I165&lt;&gt;"",Projects!I165,"")</f>
        <v/>
      </c>
      <c r="J156" s="45" t="str">
        <f>IF(Projects!J165&lt;&gt;"",Projects!J165,"")</f>
        <v/>
      </c>
      <c r="K156" s="45" t="str">
        <f>IF(Projects!K165&lt;&gt;"",Projects!K165,"")</f>
        <v/>
      </c>
      <c r="L156" t="str">
        <f>IF(AND(Projects!E165&lt;&gt;"", Projects!F165&lt;&gt;""),
INDEX('Duration Table'!$D$7:$H$17,MATCH(Projects!E165,'Duration Table'!$C$7:$C$17,0),MATCH(Projects!F165,'Duration Table'!$D$6:$H$6)),
   ""
)</f>
        <v/>
      </c>
      <c r="M156" s="45" t="str" cm="1">
        <f t="array" ref="M156">_xlfn.IFS(
    G156&lt;&gt;"",G156,
    H156&lt;&gt;"",EDATE(H156,-0.25*L156),
    N156&lt;&gt;"",EDATE(N156,-0.25*L156),
    TRUE,""
)</f>
        <v/>
      </c>
      <c r="N156" s="45" t="str" cm="1">
        <f t="array" ref="N156">_xlfn.IFS(
    H156&lt;&gt;"", H156,
    COUNT(G156,I156)=2, (G156 + (DATEDIF(G156,I156,"d")*0.5)),
    COUNT(G156,J156)=2, (G156 + (DATEDIF(G156,J156,"d")*0.25)),
    COUNT(G156,K156)=2, (G156 + ((DATEDIF(G156,K156,"d")-90)*0.25)),
    COUNT(I156,J156)=2, (I156 -(DATEDIF(I156,J156,"d")*0.5)),
    COUNT(I156,K156)=2, (I156 -((DATEDIF(I156,K156,"d")-90)*0.5)),
    G156&lt;&gt;"", EDATE(G156, + L156*0.25),
    I156&lt;&gt;"", EDATE(I156, - L156*0.25),
    J156&lt;&gt;"", EDATE(J156, - L156*0.75),
    K156&lt;&gt;"", EDATE(K156, -((L156*0.75)+3)),
    TRUE, ""
)</f>
        <v/>
      </c>
      <c r="O156" s="45" t="str" cm="1">
        <f t="array" ref="O156">_xlfn.IFS(
    I156&lt;&gt;"", I156,
    COUNT(H156,J156)=2, (H156 + (DATEDIF(H156,J156,"d")*0.33)),
    COUNT(H156,K156)=2, (H156 + ((DATEDIF(H156,K156,"d")-90)*0.33)),
    COUNT(G156,J156)=2, (G156 +  DATEDIF(G156,J156,"d")*0.5),
    COUNT(G156,K156)=2, (G156 + (DATEDIF(G156,K156,"d")-90)*0.5),
    G156&lt;&gt;"", EDATE(G156, + L156*0.5),
    H156&lt;&gt;"", EDATE(H156, + L156*0.25),
    J156&lt;&gt;"", EDATE(J156, - L156*0.5),
    K156&lt;&gt;"", EDATE(K156, -((L156*0.5)+3)),
    TRUE, ""
)</f>
        <v/>
      </c>
      <c r="P156" s="45" t="str" cm="1">
        <f t="array" ref="P156">_xlfn.IFS(
    J156&lt;&gt;"", J156,
    K156&lt;&gt;"", EDATE(K156, -3),
    G156&lt;&gt;"", EDATE(G156, + L156),
    H156&lt;&gt;"", EDATE(H156, + L156*0.75),
    I156&lt;&gt;"", EDATE(I156, H L156*0.5),
    TRUE, ""
)</f>
        <v/>
      </c>
      <c r="Q156" s="45" t="str" cm="1">
        <f t="array" ref="Q156">_xlfn.IFS(
    K156&lt;&gt;"",K156,
    J156&lt;&gt;"",EDATE(J156,3),
    P156&lt;&gt;"",EDATE(P156,3),
    TRUE,""
)</f>
        <v/>
      </c>
    </row>
    <row r="157" spans="1:17" x14ac:dyDescent="0.3">
      <c r="A157" t="str">
        <f>IF(AND(Projects!A166="", Projects!B166=""), "", IF(Projects!A166="", "Unassigned", Projects!A166))</f>
        <v/>
      </c>
      <c r="B157" t="str">
        <f>IF(Projects!B166&lt;&gt;"",Projects!B166,"")</f>
        <v/>
      </c>
      <c r="C157" t="str">
        <f>IF(AND(Projects!C166="", Projects!B166=""), "", IF(Projects!C166="", "None", Projects!C166))</f>
        <v/>
      </c>
      <c r="D157" t="str">
        <f>IF(AND(Projects!D166="", Projects!B166=""), "", IF(Projects!D166="", "No OpCo", Projects!D166))</f>
        <v/>
      </c>
      <c r="E157" t="str">
        <f>IF(Projects!E166&lt;&gt;"",Projects!E166,"")</f>
        <v/>
      </c>
      <c r="F157" t="str">
        <f>IF(Projects!F166&lt;&gt;"",Projects!F166,"")</f>
        <v/>
      </c>
      <c r="G157" s="45" t="str">
        <f>IF(Projects!G166&lt;&gt;"",Projects!G166,"")</f>
        <v/>
      </c>
      <c r="H157" s="45" t="str">
        <f>IF(Projects!H166&lt;&gt;"",Projects!H166,"")</f>
        <v/>
      </c>
      <c r="I157" s="45" t="str">
        <f>IF(Projects!I166&lt;&gt;"",Projects!I166,"")</f>
        <v/>
      </c>
      <c r="J157" s="45" t="str">
        <f>IF(Projects!J166&lt;&gt;"",Projects!J166,"")</f>
        <v/>
      </c>
      <c r="K157" s="45" t="str">
        <f>IF(Projects!K166&lt;&gt;"",Projects!K166,"")</f>
        <v/>
      </c>
      <c r="L157" t="str">
        <f>IF(AND(Projects!E166&lt;&gt;"", Projects!F166&lt;&gt;""),
INDEX('Duration Table'!$D$7:$H$17,MATCH(Projects!E166,'Duration Table'!$C$7:$C$17,0),MATCH(Projects!F166,'Duration Table'!$D$6:$H$6)),
   ""
)</f>
        <v/>
      </c>
      <c r="M157" s="45" t="str" cm="1">
        <f t="array" ref="M157">_xlfn.IFS(
    G157&lt;&gt;"",G157,
    H157&lt;&gt;"",EDATE(H157,-0.25*L157),
    N157&lt;&gt;"",EDATE(N157,-0.25*L157),
    TRUE,""
)</f>
        <v/>
      </c>
      <c r="N157" s="45" t="str" cm="1">
        <f t="array" ref="N157">_xlfn.IFS(
    H157&lt;&gt;"", H157,
    COUNT(G157,I157)=2, (G157 + (DATEDIF(G157,I157,"d")*0.5)),
    COUNT(G157,J157)=2, (G157 + (DATEDIF(G157,J157,"d")*0.25)),
    COUNT(G157,K157)=2, (G157 + ((DATEDIF(G157,K157,"d")-90)*0.25)),
    COUNT(I157,J157)=2, (I157 -(DATEDIF(I157,J157,"d")*0.5)),
    COUNT(I157,K157)=2, (I157 -((DATEDIF(I157,K157,"d")-90)*0.5)),
    G157&lt;&gt;"", EDATE(G157, + L157*0.25),
    I157&lt;&gt;"", EDATE(I157, - L157*0.25),
    J157&lt;&gt;"", EDATE(J157, - L157*0.75),
    K157&lt;&gt;"", EDATE(K157, -((L157*0.75)+3)),
    TRUE, ""
)</f>
        <v/>
      </c>
      <c r="O157" s="45" t="str" cm="1">
        <f t="array" ref="O157">_xlfn.IFS(
    I157&lt;&gt;"", I157,
    COUNT(H157,J157)=2, (H157 + (DATEDIF(H157,J157,"d")*0.33)),
    COUNT(H157,K157)=2, (H157 + ((DATEDIF(H157,K157,"d")-90)*0.33)),
    COUNT(G157,J157)=2, (G157 +  DATEDIF(G157,J157,"d")*0.5),
    COUNT(G157,K157)=2, (G157 + (DATEDIF(G157,K157,"d")-90)*0.5),
    G157&lt;&gt;"", EDATE(G157, + L157*0.5),
    H157&lt;&gt;"", EDATE(H157, + L157*0.25),
    J157&lt;&gt;"", EDATE(J157, - L157*0.5),
    K157&lt;&gt;"", EDATE(K157, -((L157*0.5)+3)),
    TRUE, ""
)</f>
        <v/>
      </c>
      <c r="P157" s="45" t="str" cm="1">
        <f t="array" ref="P157">_xlfn.IFS(
    J157&lt;&gt;"", J157,
    K157&lt;&gt;"", EDATE(K157, -3),
    G157&lt;&gt;"", EDATE(G157, + L157),
    H157&lt;&gt;"", EDATE(H157, + L157*0.75),
    I157&lt;&gt;"", EDATE(I157, H L157*0.5),
    TRUE, ""
)</f>
        <v/>
      </c>
      <c r="Q157" s="45" t="str" cm="1">
        <f t="array" ref="Q157">_xlfn.IFS(
    K157&lt;&gt;"",K157,
    J157&lt;&gt;"",EDATE(J157,3),
    P157&lt;&gt;"",EDATE(P157,3),
    TRUE,""
)</f>
        <v/>
      </c>
    </row>
    <row r="158" spans="1:17" x14ac:dyDescent="0.3">
      <c r="A158" t="str">
        <f>IF(AND(Projects!A167="", Projects!B167=""), "", IF(Projects!A167="", "Unassigned", Projects!A167))</f>
        <v/>
      </c>
      <c r="B158" t="str">
        <f>IF(Projects!B167&lt;&gt;"",Projects!B167,"")</f>
        <v/>
      </c>
      <c r="C158" t="str">
        <f>IF(AND(Projects!C167="", Projects!B167=""), "", IF(Projects!C167="", "None", Projects!C167))</f>
        <v/>
      </c>
      <c r="D158" t="str">
        <f>IF(AND(Projects!D167="", Projects!B167=""), "", IF(Projects!D167="", "No OpCo", Projects!D167))</f>
        <v/>
      </c>
      <c r="E158" t="str">
        <f>IF(Projects!E167&lt;&gt;"",Projects!E167,"")</f>
        <v/>
      </c>
      <c r="F158" t="str">
        <f>IF(Projects!F167&lt;&gt;"",Projects!F167,"")</f>
        <v/>
      </c>
      <c r="G158" s="45" t="str">
        <f>IF(Projects!G167&lt;&gt;"",Projects!G167,"")</f>
        <v/>
      </c>
      <c r="H158" s="45" t="str">
        <f>IF(Projects!H167&lt;&gt;"",Projects!H167,"")</f>
        <v/>
      </c>
      <c r="I158" s="45" t="str">
        <f>IF(Projects!I167&lt;&gt;"",Projects!I167,"")</f>
        <v/>
      </c>
      <c r="J158" s="45" t="str">
        <f>IF(Projects!J167&lt;&gt;"",Projects!J167,"")</f>
        <v/>
      </c>
      <c r="K158" s="45" t="str">
        <f>IF(Projects!K167&lt;&gt;"",Projects!K167,"")</f>
        <v/>
      </c>
      <c r="L158" t="str">
        <f>IF(AND(Projects!E167&lt;&gt;"", Projects!F167&lt;&gt;""),
INDEX('Duration Table'!$D$7:$H$17,MATCH(Projects!E167,'Duration Table'!$C$7:$C$17,0),MATCH(Projects!F167,'Duration Table'!$D$6:$H$6)),
   ""
)</f>
        <v/>
      </c>
      <c r="M158" s="45" t="str" cm="1">
        <f t="array" ref="M158">_xlfn.IFS(
    G158&lt;&gt;"",G158,
    H158&lt;&gt;"",EDATE(H158,-0.25*L158),
    N158&lt;&gt;"",EDATE(N158,-0.25*L158),
    TRUE,""
)</f>
        <v/>
      </c>
      <c r="N158" s="45" t="str" cm="1">
        <f t="array" ref="N158">_xlfn.IFS(
    H158&lt;&gt;"", H158,
    COUNT(G158,I158)=2, (G158 + (DATEDIF(G158,I158,"d")*0.5)),
    COUNT(G158,J158)=2, (G158 + (DATEDIF(G158,J158,"d")*0.25)),
    COUNT(G158,K158)=2, (G158 + ((DATEDIF(G158,K158,"d")-90)*0.25)),
    COUNT(I158,J158)=2, (I158 -(DATEDIF(I158,J158,"d")*0.5)),
    COUNT(I158,K158)=2, (I158 -((DATEDIF(I158,K158,"d")-90)*0.5)),
    G158&lt;&gt;"", EDATE(G158, + L158*0.25),
    I158&lt;&gt;"", EDATE(I158, - L158*0.25),
    J158&lt;&gt;"", EDATE(J158, - L158*0.75),
    K158&lt;&gt;"", EDATE(K158, -((L158*0.75)+3)),
    TRUE, ""
)</f>
        <v/>
      </c>
      <c r="O158" s="45" t="str" cm="1">
        <f t="array" ref="O158">_xlfn.IFS(
    I158&lt;&gt;"", I158,
    COUNT(H158,J158)=2, (H158 + (DATEDIF(H158,J158,"d")*0.33)),
    COUNT(H158,K158)=2, (H158 + ((DATEDIF(H158,K158,"d")-90)*0.33)),
    COUNT(G158,J158)=2, (G158 +  DATEDIF(G158,J158,"d")*0.5),
    COUNT(G158,K158)=2, (G158 + (DATEDIF(G158,K158,"d")-90)*0.5),
    G158&lt;&gt;"", EDATE(G158, + L158*0.5),
    H158&lt;&gt;"", EDATE(H158, + L158*0.25),
    J158&lt;&gt;"", EDATE(J158, - L158*0.5),
    K158&lt;&gt;"", EDATE(K158, -((L158*0.5)+3)),
    TRUE, ""
)</f>
        <v/>
      </c>
      <c r="P158" s="45" t="str" cm="1">
        <f t="array" ref="P158">_xlfn.IFS(
    J158&lt;&gt;"", J158,
    K158&lt;&gt;"", EDATE(K158, -3),
    G158&lt;&gt;"", EDATE(G158, + L158),
    H158&lt;&gt;"", EDATE(H158, + L158*0.75),
    I158&lt;&gt;"", EDATE(I158, H L158*0.5),
    TRUE, ""
)</f>
        <v/>
      </c>
      <c r="Q158" s="45" t="str" cm="1">
        <f t="array" ref="Q158">_xlfn.IFS(
    K158&lt;&gt;"",K158,
    J158&lt;&gt;"",EDATE(J158,3),
    P158&lt;&gt;"",EDATE(P158,3),
    TRUE,""
)</f>
        <v/>
      </c>
    </row>
    <row r="159" spans="1:17" x14ac:dyDescent="0.3">
      <c r="A159" t="str">
        <f>IF(AND(Projects!A168="", Projects!B168=""), "", IF(Projects!A168="", "Unassigned", Projects!A168))</f>
        <v/>
      </c>
      <c r="B159" t="str">
        <f>IF(Projects!B168&lt;&gt;"",Projects!B168,"")</f>
        <v/>
      </c>
      <c r="C159" t="str">
        <f>IF(AND(Projects!C168="", Projects!B168=""), "", IF(Projects!C168="", "None", Projects!C168))</f>
        <v/>
      </c>
      <c r="D159" t="str">
        <f>IF(AND(Projects!D168="", Projects!B168=""), "", IF(Projects!D168="", "No OpCo", Projects!D168))</f>
        <v/>
      </c>
      <c r="E159" t="str">
        <f>IF(Projects!E168&lt;&gt;"",Projects!E168,"")</f>
        <v/>
      </c>
      <c r="F159" t="str">
        <f>IF(Projects!F168&lt;&gt;"",Projects!F168,"")</f>
        <v/>
      </c>
      <c r="G159" s="45" t="str">
        <f>IF(Projects!G168&lt;&gt;"",Projects!G168,"")</f>
        <v/>
      </c>
      <c r="H159" s="45" t="str">
        <f>IF(Projects!H168&lt;&gt;"",Projects!H168,"")</f>
        <v/>
      </c>
      <c r="I159" s="45" t="str">
        <f>IF(Projects!I168&lt;&gt;"",Projects!I168,"")</f>
        <v/>
      </c>
      <c r="J159" s="45" t="str">
        <f>IF(Projects!J168&lt;&gt;"",Projects!J168,"")</f>
        <v/>
      </c>
      <c r="K159" s="45" t="str">
        <f>IF(Projects!K168&lt;&gt;"",Projects!K168,"")</f>
        <v/>
      </c>
      <c r="L159" t="str">
        <f>IF(AND(Projects!E168&lt;&gt;"", Projects!F168&lt;&gt;""),
INDEX('Duration Table'!$D$7:$H$17,MATCH(Projects!E168,'Duration Table'!$C$7:$C$17,0),MATCH(Projects!F168,'Duration Table'!$D$6:$H$6)),
   ""
)</f>
        <v/>
      </c>
      <c r="M159" s="45" t="str" cm="1">
        <f t="array" ref="M159">_xlfn.IFS(
    G159&lt;&gt;"",G159,
    H159&lt;&gt;"",EDATE(H159,-0.25*L159),
    N159&lt;&gt;"",EDATE(N159,-0.25*L159),
    TRUE,""
)</f>
        <v/>
      </c>
      <c r="N159" s="45" t="str" cm="1">
        <f t="array" ref="N159">_xlfn.IFS(
    H159&lt;&gt;"", H159,
    COUNT(G159,I159)=2, (G159 + (DATEDIF(G159,I159,"d")*0.5)),
    COUNT(G159,J159)=2, (G159 + (DATEDIF(G159,J159,"d")*0.25)),
    COUNT(G159,K159)=2, (G159 + ((DATEDIF(G159,K159,"d")-90)*0.25)),
    COUNT(I159,J159)=2, (I159 -(DATEDIF(I159,J159,"d")*0.5)),
    COUNT(I159,K159)=2, (I159 -((DATEDIF(I159,K159,"d")-90)*0.5)),
    G159&lt;&gt;"", EDATE(G159, + L159*0.25),
    I159&lt;&gt;"", EDATE(I159, - L159*0.25),
    J159&lt;&gt;"", EDATE(J159, - L159*0.75),
    K159&lt;&gt;"", EDATE(K159, -((L159*0.75)+3)),
    TRUE, ""
)</f>
        <v/>
      </c>
      <c r="O159" s="45" t="str" cm="1">
        <f t="array" ref="O159">_xlfn.IFS(
    I159&lt;&gt;"", I159,
    COUNT(H159,J159)=2, (H159 + (DATEDIF(H159,J159,"d")*0.33)),
    COUNT(H159,K159)=2, (H159 + ((DATEDIF(H159,K159,"d")-90)*0.33)),
    COUNT(G159,J159)=2, (G159 +  DATEDIF(G159,J159,"d")*0.5),
    COUNT(G159,K159)=2, (G159 + (DATEDIF(G159,K159,"d")-90)*0.5),
    G159&lt;&gt;"", EDATE(G159, + L159*0.5),
    H159&lt;&gt;"", EDATE(H159, + L159*0.25),
    J159&lt;&gt;"", EDATE(J159, - L159*0.5),
    K159&lt;&gt;"", EDATE(K159, -((L159*0.5)+3)),
    TRUE, ""
)</f>
        <v/>
      </c>
      <c r="P159" s="45" t="str" cm="1">
        <f t="array" ref="P159">_xlfn.IFS(
    J159&lt;&gt;"", J159,
    K159&lt;&gt;"", EDATE(K159, -3),
    G159&lt;&gt;"", EDATE(G159, + L159),
    H159&lt;&gt;"", EDATE(H159, + L159*0.75),
    I159&lt;&gt;"", EDATE(I159, H L159*0.5),
    TRUE, ""
)</f>
        <v/>
      </c>
      <c r="Q159" s="45" t="str" cm="1">
        <f t="array" ref="Q159">_xlfn.IFS(
    K159&lt;&gt;"",K159,
    J159&lt;&gt;"",EDATE(J159,3),
    P159&lt;&gt;"",EDATE(P159,3),
    TRUE,""
)</f>
        <v/>
      </c>
    </row>
    <row r="160" spans="1:17" x14ac:dyDescent="0.3">
      <c r="A160" t="str">
        <f>IF(AND(Projects!A169="", Projects!B169=""), "", IF(Projects!A169="", "Unassigned", Projects!A169))</f>
        <v/>
      </c>
      <c r="B160" t="str">
        <f>IF(Projects!B169&lt;&gt;"",Projects!B169,"")</f>
        <v/>
      </c>
      <c r="C160" t="str">
        <f>IF(AND(Projects!C169="", Projects!B169=""), "", IF(Projects!C169="", "None", Projects!C169))</f>
        <v/>
      </c>
      <c r="D160" t="str">
        <f>IF(AND(Projects!D169="", Projects!B169=""), "", IF(Projects!D169="", "No OpCo", Projects!D169))</f>
        <v/>
      </c>
      <c r="E160" t="str">
        <f>IF(Projects!E169&lt;&gt;"",Projects!E169,"")</f>
        <v/>
      </c>
      <c r="F160" t="str">
        <f>IF(Projects!F169&lt;&gt;"",Projects!F169,"")</f>
        <v/>
      </c>
      <c r="G160" s="45" t="str">
        <f>IF(Projects!G169&lt;&gt;"",Projects!G169,"")</f>
        <v/>
      </c>
      <c r="H160" s="45" t="str">
        <f>IF(Projects!H169&lt;&gt;"",Projects!H169,"")</f>
        <v/>
      </c>
      <c r="I160" s="45" t="str">
        <f>IF(Projects!I169&lt;&gt;"",Projects!I169,"")</f>
        <v/>
      </c>
      <c r="J160" s="45" t="str">
        <f>IF(Projects!J169&lt;&gt;"",Projects!J169,"")</f>
        <v/>
      </c>
      <c r="K160" s="45" t="str">
        <f>IF(Projects!K169&lt;&gt;"",Projects!K169,"")</f>
        <v/>
      </c>
      <c r="L160" t="str">
        <f>IF(AND(Projects!E169&lt;&gt;"", Projects!F169&lt;&gt;""),
INDEX('Duration Table'!$D$7:$H$17,MATCH(Projects!E169,'Duration Table'!$C$7:$C$17,0),MATCH(Projects!F169,'Duration Table'!$D$6:$H$6)),
   ""
)</f>
        <v/>
      </c>
      <c r="M160" s="45" t="str" cm="1">
        <f t="array" ref="M160">_xlfn.IFS(
    G160&lt;&gt;"",G160,
    H160&lt;&gt;"",EDATE(H160,-0.25*L160),
    N160&lt;&gt;"",EDATE(N160,-0.25*L160),
    TRUE,""
)</f>
        <v/>
      </c>
      <c r="N160" s="45" t="str" cm="1">
        <f t="array" ref="N160">_xlfn.IFS(
    H160&lt;&gt;"", H160,
    COUNT(G160,I160)=2, (G160 + (DATEDIF(G160,I160,"d")*0.5)),
    COUNT(G160,J160)=2, (G160 + (DATEDIF(G160,J160,"d")*0.25)),
    COUNT(G160,K160)=2, (G160 + ((DATEDIF(G160,K160,"d")-90)*0.25)),
    COUNT(I160,J160)=2, (I160 -(DATEDIF(I160,J160,"d")*0.5)),
    COUNT(I160,K160)=2, (I160 -((DATEDIF(I160,K160,"d")-90)*0.5)),
    G160&lt;&gt;"", EDATE(G160, + L160*0.25),
    I160&lt;&gt;"", EDATE(I160, - L160*0.25),
    J160&lt;&gt;"", EDATE(J160, - L160*0.75),
    K160&lt;&gt;"", EDATE(K160, -((L160*0.75)+3)),
    TRUE, ""
)</f>
        <v/>
      </c>
      <c r="O160" s="45" t="str" cm="1">
        <f t="array" ref="O160">_xlfn.IFS(
    I160&lt;&gt;"", I160,
    COUNT(H160,J160)=2, (H160 + (DATEDIF(H160,J160,"d")*0.33)),
    COUNT(H160,K160)=2, (H160 + ((DATEDIF(H160,K160,"d")-90)*0.33)),
    COUNT(G160,J160)=2, (G160 +  DATEDIF(G160,J160,"d")*0.5),
    COUNT(G160,K160)=2, (G160 + (DATEDIF(G160,K160,"d")-90)*0.5),
    G160&lt;&gt;"", EDATE(G160, + L160*0.5),
    H160&lt;&gt;"", EDATE(H160, + L160*0.25),
    J160&lt;&gt;"", EDATE(J160, - L160*0.5),
    K160&lt;&gt;"", EDATE(K160, -((L160*0.5)+3)),
    TRUE, ""
)</f>
        <v/>
      </c>
      <c r="P160" s="45" t="str" cm="1">
        <f t="array" ref="P160">_xlfn.IFS(
    J160&lt;&gt;"", J160,
    K160&lt;&gt;"", EDATE(K160, -3),
    G160&lt;&gt;"", EDATE(G160, + L160),
    H160&lt;&gt;"", EDATE(H160, + L160*0.75),
    I160&lt;&gt;"", EDATE(I160, H L160*0.5),
    TRUE, ""
)</f>
        <v/>
      </c>
      <c r="Q160" s="45" t="str" cm="1">
        <f t="array" ref="Q160">_xlfn.IFS(
    K160&lt;&gt;"",K160,
    J160&lt;&gt;"",EDATE(J160,3),
    P160&lt;&gt;"",EDATE(P160,3),
    TRUE,""
)</f>
        <v/>
      </c>
    </row>
    <row r="161" spans="1:17" x14ac:dyDescent="0.3">
      <c r="A161" t="str">
        <f>IF(AND(Projects!A170="", Projects!B170=""), "", IF(Projects!A170="", "Unassigned", Projects!A170))</f>
        <v/>
      </c>
      <c r="B161" t="str">
        <f>IF(Projects!B170&lt;&gt;"",Projects!B170,"")</f>
        <v/>
      </c>
      <c r="C161" t="str">
        <f>IF(AND(Projects!C170="", Projects!B170=""), "", IF(Projects!C170="", "None", Projects!C170))</f>
        <v/>
      </c>
      <c r="D161" t="str">
        <f>IF(AND(Projects!D170="", Projects!B170=""), "", IF(Projects!D170="", "No OpCo", Projects!D170))</f>
        <v/>
      </c>
      <c r="E161" t="str">
        <f>IF(Projects!E170&lt;&gt;"",Projects!E170,"")</f>
        <v/>
      </c>
      <c r="F161" t="str">
        <f>IF(Projects!F170&lt;&gt;"",Projects!F170,"")</f>
        <v/>
      </c>
      <c r="G161" s="45" t="str">
        <f>IF(Projects!G170&lt;&gt;"",Projects!G170,"")</f>
        <v/>
      </c>
      <c r="H161" s="45" t="str">
        <f>IF(Projects!H170&lt;&gt;"",Projects!H170,"")</f>
        <v/>
      </c>
      <c r="I161" s="45" t="str">
        <f>IF(Projects!I170&lt;&gt;"",Projects!I170,"")</f>
        <v/>
      </c>
      <c r="J161" s="45" t="str">
        <f>IF(Projects!J170&lt;&gt;"",Projects!J170,"")</f>
        <v/>
      </c>
      <c r="K161" s="45" t="str">
        <f>IF(Projects!K170&lt;&gt;"",Projects!K170,"")</f>
        <v/>
      </c>
      <c r="L161" t="str">
        <f>IF(AND(Projects!E170&lt;&gt;"", Projects!F170&lt;&gt;""),
INDEX('Duration Table'!$D$7:$H$17,MATCH(Projects!E170,'Duration Table'!$C$7:$C$17,0),MATCH(Projects!F170,'Duration Table'!$D$6:$H$6)),
   ""
)</f>
        <v/>
      </c>
      <c r="M161" s="45" t="str" cm="1">
        <f t="array" ref="M161">_xlfn.IFS(
    G161&lt;&gt;"",G161,
    H161&lt;&gt;"",EDATE(H161,-0.25*L161),
    N161&lt;&gt;"",EDATE(N161,-0.25*L161),
    TRUE,""
)</f>
        <v/>
      </c>
      <c r="N161" s="45" t="str" cm="1">
        <f t="array" ref="N161">_xlfn.IFS(
    H161&lt;&gt;"", H161,
    COUNT(G161,I161)=2, (G161 + (DATEDIF(G161,I161,"d")*0.5)),
    COUNT(G161,J161)=2, (G161 + (DATEDIF(G161,J161,"d")*0.25)),
    COUNT(G161,K161)=2, (G161 + ((DATEDIF(G161,K161,"d")-90)*0.25)),
    COUNT(I161,J161)=2, (I161 -(DATEDIF(I161,J161,"d")*0.5)),
    COUNT(I161,K161)=2, (I161 -((DATEDIF(I161,K161,"d")-90)*0.5)),
    G161&lt;&gt;"", EDATE(G161, + L161*0.25),
    I161&lt;&gt;"", EDATE(I161, - L161*0.25),
    J161&lt;&gt;"", EDATE(J161, - L161*0.75),
    K161&lt;&gt;"", EDATE(K161, -((L161*0.75)+3)),
    TRUE, ""
)</f>
        <v/>
      </c>
      <c r="O161" s="45" t="str" cm="1">
        <f t="array" ref="O161">_xlfn.IFS(
    I161&lt;&gt;"", I161,
    COUNT(H161,J161)=2, (H161 + (DATEDIF(H161,J161,"d")*0.33)),
    COUNT(H161,K161)=2, (H161 + ((DATEDIF(H161,K161,"d")-90)*0.33)),
    COUNT(G161,J161)=2, (G161 +  DATEDIF(G161,J161,"d")*0.5),
    COUNT(G161,K161)=2, (G161 + (DATEDIF(G161,K161,"d")-90)*0.5),
    G161&lt;&gt;"", EDATE(G161, + L161*0.5),
    H161&lt;&gt;"", EDATE(H161, + L161*0.25),
    J161&lt;&gt;"", EDATE(J161, - L161*0.5),
    K161&lt;&gt;"", EDATE(K161, -((L161*0.5)+3)),
    TRUE, ""
)</f>
        <v/>
      </c>
      <c r="P161" s="45" t="str" cm="1">
        <f t="array" ref="P161">_xlfn.IFS(
    J161&lt;&gt;"", J161,
    K161&lt;&gt;"", EDATE(K161, -3),
    G161&lt;&gt;"", EDATE(G161, + L161),
    H161&lt;&gt;"", EDATE(H161, + L161*0.75),
    I161&lt;&gt;"", EDATE(I161, H L161*0.5),
    TRUE, ""
)</f>
        <v/>
      </c>
      <c r="Q161" s="45" t="str" cm="1">
        <f t="array" ref="Q161">_xlfn.IFS(
    K161&lt;&gt;"",K161,
    J161&lt;&gt;"",EDATE(J161,3),
    P161&lt;&gt;"",EDATE(P161,3),
    TRUE,""
)</f>
        <v/>
      </c>
    </row>
    <row r="162" spans="1:17" x14ac:dyDescent="0.3">
      <c r="A162" t="str">
        <f>IF(AND(Projects!A171="", Projects!B171=""), "", IF(Projects!A171="", "Unassigned", Projects!A171))</f>
        <v/>
      </c>
      <c r="B162" t="str">
        <f>IF(Projects!B171&lt;&gt;"",Projects!B171,"")</f>
        <v/>
      </c>
      <c r="C162" t="str">
        <f>IF(AND(Projects!C171="", Projects!B171=""), "", IF(Projects!C171="", "None", Projects!C171))</f>
        <v/>
      </c>
      <c r="D162" t="str">
        <f>IF(AND(Projects!D171="", Projects!B171=""), "", IF(Projects!D171="", "No OpCo", Projects!D171))</f>
        <v/>
      </c>
      <c r="E162" t="str">
        <f>IF(Projects!E171&lt;&gt;"",Projects!E171,"")</f>
        <v/>
      </c>
      <c r="F162" t="str">
        <f>IF(Projects!F171&lt;&gt;"",Projects!F171,"")</f>
        <v/>
      </c>
      <c r="G162" s="45" t="str">
        <f>IF(Projects!G171&lt;&gt;"",Projects!G171,"")</f>
        <v/>
      </c>
      <c r="H162" s="45" t="str">
        <f>IF(Projects!H171&lt;&gt;"",Projects!H171,"")</f>
        <v/>
      </c>
      <c r="I162" s="45" t="str">
        <f>IF(Projects!I171&lt;&gt;"",Projects!I171,"")</f>
        <v/>
      </c>
      <c r="J162" s="45" t="str">
        <f>IF(Projects!J171&lt;&gt;"",Projects!J171,"")</f>
        <v/>
      </c>
      <c r="K162" s="45" t="str">
        <f>IF(Projects!K171&lt;&gt;"",Projects!K171,"")</f>
        <v/>
      </c>
      <c r="L162" t="str">
        <f>IF(AND(Projects!E171&lt;&gt;"", Projects!F171&lt;&gt;""),
INDEX('Duration Table'!$D$7:$H$17,MATCH(Projects!E171,'Duration Table'!$C$7:$C$17,0),MATCH(Projects!F171,'Duration Table'!$D$6:$H$6)),
   ""
)</f>
        <v/>
      </c>
      <c r="M162" s="45" t="str" cm="1">
        <f t="array" ref="M162">_xlfn.IFS(
    G162&lt;&gt;"",G162,
    H162&lt;&gt;"",EDATE(H162,-0.25*L162),
    N162&lt;&gt;"",EDATE(N162,-0.25*L162),
    TRUE,""
)</f>
        <v/>
      </c>
      <c r="N162" s="45" t="str" cm="1">
        <f t="array" ref="N162">_xlfn.IFS(
    H162&lt;&gt;"", H162,
    COUNT(G162,I162)=2, (G162 + (DATEDIF(G162,I162,"d")*0.5)),
    COUNT(G162,J162)=2, (G162 + (DATEDIF(G162,J162,"d")*0.25)),
    COUNT(G162,K162)=2, (G162 + ((DATEDIF(G162,K162,"d")-90)*0.25)),
    COUNT(I162,J162)=2, (I162 -(DATEDIF(I162,J162,"d")*0.5)),
    COUNT(I162,K162)=2, (I162 -((DATEDIF(I162,K162,"d")-90)*0.5)),
    G162&lt;&gt;"", EDATE(G162, + L162*0.25),
    I162&lt;&gt;"", EDATE(I162, - L162*0.25),
    J162&lt;&gt;"", EDATE(J162, - L162*0.75),
    K162&lt;&gt;"", EDATE(K162, -((L162*0.75)+3)),
    TRUE, ""
)</f>
        <v/>
      </c>
      <c r="O162" s="45" t="str" cm="1">
        <f t="array" ref="O162">_xlfn.IFS(
    I162&lt;&gt;"", I162,
    COUNT(H162,J162)=2, (H162 + (DATEDIF(H162,J162,"d")*0.33)),
    COUNT(H162,K162)=2, (H162 + ((DATEDIF(H162,K162,"d")-90)*0.33)),
    COUNT(G162,J162)=2, (G162 +  DATEDIF(G162,J162,"d")*0.5),
    COUNT(G162,K162)=2, (G162 + (DATEDIF(G162,K162,"d")-90)*0.5),
    G162&lt;&gt;"", EDATE(G162, + L162*0.5),
    H162&lt;&gt;"", EDATE(H162, + L162*0.25),
    J162&lt;&gt;"", EDATE(J162, - L162*0.5),
    K162&lt;&gt;"", EDATE(K162, -((L162*0.5)+3)),
    TRUE, ""
)</f>
        <v/>
      </c>
      <c r="P162" s="45" t="str" cm="1">
        <f t="array" ref="P162">_xlfn.IFS(
    J162&lt;&gt;"", J162,
    K162&lt;&gt;"", EDATE(K162, -3),
    G162&lt;&gt;"", EDATE(G162, + L162),
    H162&lt;&gt;"", EDATE(H162, + L162*0.75),
    I162&lt;&gt;"", EDATE(I162, H L162*0.5),
    TRUE, ""
)</f>
        <v/>
      </c>
      <c r="Q162" s="45" t="str" cm="1">
        <f t="array" ref="Q162">_xlfn.IFS(
    K162&lt;&gt;"",K162,
    J162&lt;&gt;"",EDATE(J162,3),
    P162&lt;&gt;"",EDATE(P162,3),
    TRUE,""
)</f>
        <v/>
      </c>
    </row>
    <row r="163" spans="1:17" x14ac:dyDescent="0.3">
      <c r="A163" t="str">
        <f>IF(AND(Projects!A172="", Projects!B172=""), "", IF(Projects!A172="", "Unassigned", Projects!A172))</f>
        <v/>
      </c>
      <c r="B163" t="str">
        <f>IF(Projects!B172&lt;&gt;"",Projects!B172,"")</f>
        <v/>
      </c>
      <c r="C163" t="str">
        <f>IF(AND(Projects!C172="", Projects!B172=""), "", IF(Projects!C172="", "None", Projects!C172))</f>
        <v/>
      </c>
      <c r="D163" t="str">
        <f>IF(AND(Projects!D172="", Projects!B172=""), "", IF(Projects!D172="", "No OpCo", Projects!D172))</f>
        <v/>
      </c>
      <c r="E163" t="str">
        <f>IF(Projects!E172&lt;&gt;"",Projects!E172,"")</f>
        <v/>
      </c>
      <c r="F163" t="str">
        <f>IF(Projects!F172&lt;&gt;"",Projects!F172,"")</f>
        <v/>
      </c>
      <c r="G163" s="45" t="str">
        <f>IF(Projects!G172&lt;&gt;"",Projects!G172,"")</f>
        <v/>
      </c>
      <c r="H163" s="45" t="str">
        <f>IF(Projects!H172&lt;&gt;"",Projects!H172,"")</f>
        <v/>
      </c>
      <c r="I163" s="45" t="str">
        <f>IF(Projects!I172&lt;&gt;"",Projects!I172,"")</f>
        <v/>
      </c>
      <c r="J163" s="45" t="str">
        <f>IF(Projects!J172&lt;&gt;"",Projects!J172,"")</f>
        <v/>
      </c>
      <c r="K163" s="45" t="str">
        <f>IF(Projects!K172&lt;&gt;"",Projects!K172,"")</f>
        <v/>
      </c>
      <c r="L163" t="str">
        <f>IF(AND(Projects!E172&lt;&gt;"", Projects!F172&lt;&gt;""),
INDEX('Duration Table'!$D$7:$H$17,MATCH(Projects!E172,'Duration Table'!$C$7:$C$17,0),MATCH(Projects!F172,'Duration Table'!$D$6:$H$6)),
   ""
)</f>
        <v/>
      </c>
      <c r="M163" s="45" t="str" cm="1">
        <f t="array" ref="M163">_xlfn.IFS(
    G163&lt;&gt;"",G163,
    H163&lt;&gt;"",EDATE(H163,-0.25*L163),
    N163&lt;&gt;"",EDATE(N163,-0.25*L163),
    TRUE,""
)</f>
        <v/>
      </c>
      <c r="N163" s="45" t="str" cm="1">
        <f t="array" ref="N163">_xlfn.IFS(
    H163&lt;&gt;"", H163,
    COUNT(G163,I163)=2, (G163 + (DATEDIF(G163,I163,"d")*0.5)),
    COUNT(G163,J163)=2, (G163 + (DATEDIF(G163,J163,"d")*0.25)),
    COUNT(G163,K163)=2, (G163 + ((DATEDIF(G163,K163,"d")-90)*0.25)),
    COUNT(I163,J163)=2, (I163 -(DATEDIF(I163,J163,"d")*0.5)),
    COUNT(I163,K163)=2, (I163 -((DATEDIF(I163,K163,"d")-90)*0.5)),
    G163&lt;&gt;"", EDATE(G163, + L163*0.25),
    I163&lt;&gt;"", EDATE(I163, - L163*0.25),
    J163&lt;&gt;"", EDATE(J163, - L163*0.75),
    K163&lt;&gt;"", EDATE(K163, -((L163*0.75)+3)),
    TRUE, ""
)</f>
        <v/>
      </c>
      <c r="O163" s="45" t="str" cm="1">
        <f t="array" ref="O163">_xlfn.IFS(
    I163&lt;&gt;"", I163,
    COUNT(H163,J163)=2, (H163 + (DATEDIF(H163,J163,"d")*0.33)),
    COUNT(H163,K163)=2, (H163 + ((DATEDIF(H163,K163,"d")-90)*0.33)),
    COUNT(G163,J163)=2, (G163 +  DATEDIF(G163,J163,"d")*0.5),
    COUNT(G163,K163)=2, (G163 + (DATEDIF(G163,K163,"d")-90)*0.5),
    G163&lt;&gt;"", EDATE(G163, + L163*0.5),
    H163&lt;&gt;"", EDATE(H163, + L163*0.25),
    J163&lt;&gt;"", EDATE(J163, - L163*0.5),
    K163&lt;&gt;"", EDATE(K163, -((L163*0.5)+3)),
    TRUE, ""
)</f>
        <v/>
      </c>
      <c r="P163" s="45" t="str" cm="1">
        <f t="array" ref="P163">_xlfn.IFS(
    J163&lt;&gt;"", J163,
    K163&lt;&gt;"", EDATE(K163, -3),
    G163&lt;&gt;"", EDATE(G163, + L163),
    H163&lt;&gt;"", EDATE(H163, + L163*0.75),
    I163&lt;&gt;"", EDATE(I163, H L163*0.5),
    TRUE, ""
)</f>
        <v/>
      </c>
      <c r="Q163" s="45" t="str" cm="1">
        <f t="array" ref="Q163">_xlfn.IFS(
    K163&lt;&gt;"",K163,
    J163&lt;&gt;"",EDATE(J163,3),
    P163&lt;&gt;"",EDATE(P163,3),
    TRUE,""
)</f>
        <v/>
      </c>
    </row>
    <row r="164" spans="1:17" x14ac:dyDescent="0.3">
      <c r="A164" t="str">
        <f>IF(AND(Projects!A173="", Projects!B173=""), "", IF(Projects!A173="", "Unassigned", Projects!A173))</f>
        <v/>
      </c>
      <c r="B164" t="str">
        <f>IF(Projects!B173&lt;&gt;"",Projects!B173,"")</f>
        <v/>
      </c>
      <c r="C164" t="str">
        <f>IF(AND(Projects!C173="", Projects!B173=""), "", IF(Projects!C173="", "None", Projects!C173))</f>
        <v/>
      </c>
      <c r="D164" t="str">
        <f>IF(AND(Projects!D173="", Projects!B173=""), "", IF(Projects!D173="", "No OpCo", Projects!D173))</f>
        <v/>
      </c>
      <c r="E164" t="str">
        <f>IF(Projects!E173&lt;&gt;"",Projects!E173,"")</f>
        <v/>
      </c>
      <c r="F164" t="str">
        <f>IF(Projects!F173&lt;&gt;"",Projects!F173,"")</f>
        <v/>
      </c>
      <c r="G164" s="45" t="str">
        <f>IF(Projects!G173&lt;&gt;"",Projects!G173,"")</f>
        <v/>
      </c>
      <c r="H164" s="45" t="str">
        <f>IF(Projects!H173&lt;&gt;"",Projects!H173,"")</f>
        <v/>
      </c>
      <c r="I164" s="45" t="str">
        <f>IF(Projects!I173&lt;&gt;"",Projects!I173,"")</f>
        <v/>
      </c>
      <c r="J164" s="45" t="str">
        <f>IF(Projects!J173&lt;&gt;"",Projects!J173,"")</f>
        <v/>
      </c>
      <c r="K164" s="45" t="str">
        <f>IF(Projects!K173&lt;&gt;"",Projects!K173,"")</f>
        <v/>
      </c>
      <c r="L164" t="str">
        <f>IF(AND(Projects!E173&lt;&gt;"", Projects!F173&lt;&gt;""),
INDEX('Duration Table'!$D$7:$H$17,MATCH(Projects!E173,'Duration Table'!$C$7:$C$17,0),MATCH(Projects!F173,'Duration Table'!$D$6:$H$6)),
   ""
)</f>
        <v/>
      </c>
      <c r="M164" s="45" t="str" cm="1">
        <f t="array" ref="M164">_xlfn.IFS(
    G164&lt;&gt;"",G164,
    H164&lt;&gt;"",EDATE(H164,-0.25*L164),
    N164&lt;&gt;"",EDATE(N164,-0.25*L164),
    TRUE,""
)</f>
        <v/>
      </c>
      <c r="N164" s="45" t="str" cm="1">
        <f t="array" ref="N164">_xlfn.IFS(
    H164&lt;&gt;"", H164,
    COUNT(G164,I164)=2, (G164 + (DATEDIF(G164,I164,"d")*0.5)),
    COUNT(G164,J164)=2, (G164 + (DATEDIF(G164,J164,"d")*0.25)),
    COUNT(G164,K164)=2, (G164 + ((DATEDIF(G164,K164,"d")-90)*0.25)),
    COUNT(I164,J164)=2, (I164 -(DATEDIF(I164,J164,"d")*0.5)),
    COUNT(I164,K164)=2, (I164 -((DATEDIF(I164,K164,"d")-90)*0.5)),
    G164&lt;&gt;"", EDATE(G164, + L164*0.25),
    I164&lt;&gt;"", EDATE(I164, - L164*0.25),
    J164&lt;&gt;"", EDATE(J164, - L164*0.75),
    K164&lt;&gt;"", EDATE(K164, -((L164*0.75)+3)),
    TRUE, ""
)</f>
        <v/>
      </c>
      <c r="O164" s="45" t="str" cm="1">
        <f t="array" ref="O164">_xlfn.IFS(
    I164&lt;&gt;"", I164,
    COUNT(H164,J164)=2, (H164 + (DATEDIF(H164,J164,"d")*0.33)),
    COUNT(H164,K164)=2, (H164 + ((DATEDIF(H164,K164,"d")-90)*0.33)),
    COUNT(G164,J164)=2, (G164 +  DATEDIF(G164,J164,"d")*0.5),
    COUNT(G164,K164)=2, (G164 + (DATEDIF(G164,K164,"d")-90)*0.5),
    G164&lt;&gt;"", EDATE(G164, + L164*0.5),
    H164&lt;&gt;"", EDATE(H164, + L164*0.25),
    J164&lt;&gt;"", EDATE(J164, - L164*0.5),
    K164&lt;&gt;"", EDATE(K164, -((L164*0.5)+3)),
    TRUE, ""
)</f>
        <v/>
      </c>
      <c r="P164" s="45" t="str" cm="1">
        <f t="array" ref="P164">_xlfn.IFS(
    J164&lt;&gt;"", J164,
    K164&lt;&gt;"", EDATE(K164, -3),
    G164&lt;&gt;"", EDATE(G164, + L164),
    H164&lt;&gt;"", EDATE(H164, + L164*0.75),
    I164&lt;&gt;"", EDATE(I164, H L164*0.5),
    TRUE, ""
)</f>
        <v/>
      </c>
      <c r="Q164" s="45" t="str" cm="1">
        <f t="array" ref="Q164">_xlfn.IFS(
    K164&lt;&gt;"",K164,
    J164&lt;&gt;"",EDATE(J164,3),
    P164&lt;&gt;"",EDATE(P164,3),
    TRUE,""
)</f>
        <v/>
      </c>
    </row>
    <row r="165" spans="1:17" x14ac:dyDescent="0.3">
      <c r="A165" t="str">
        <f>IF(AND(Projects!A174="", Projects!B174=""), "", IF(Projects!A174="", "Unassigned", Projects!A174))</f>
        <v/>
      </c>
      <c r="B165" t="str">
        <f>IF(Projects!B174&lt;&gt;"",Projects!B174,"")</f>
        <v/>
      </c>
      <c r="C165" t="str">
        <f>IF(AND(Projects!C174="", Projects!B174=""), "", IF(Projects!C174="", "None", Projects!C174))</f>
        <v/>
      </c>
      <c r="D165" t="str">
        <f>IF(AND(Projects!D174="", Projects!B174=""), "", IF(Projects!D174="", "No OpCo", Projects!D174))</f>
        <v/>
      </c>
      <c r="E165" t="str">
        <f>IF(Projects!E174&lt;&gt;"",Projects!E174,"")</f>
        <v/>
      </c>
      <c r="F165" t="str">
        <f>IF(Projects!F174&lt;&gt;"",Projects!F174,"")</f>
        <v/>
      </c>
      <c r="G165" s="45" t="str">
        <f>IF(Projects!G174&lt;&gt;"",Projects!G174,"")</f>
        <v/>
      </c>
      <c r="H165" s="45" t="str">
        <f>IF(Projects!H174&lt;&gt;"",Projects!H174,"")</f>
        <v/>
      </c>
      <c r="I165" s="45" t="str">
        <f>IF(Projects!I174&lt;&gt;"",Projects!I174,"")</f>
        <v/>
      </c>
      <c r="J165" s="45" t="str">
        <f>IF(Projects!J174&lt;&gt;"",Projects!J174,"")</f>
        <v/>
      </c>
      <c r="K165" s="45" t="str">
        <f>IF(Projects!K174&lt;&gt;"",Projects!K174,"")</f>
        <v/>
      </c>
      <c r="L165" t="str">
        <f>IF(AND(Projects!E174&lt;&gt;"", Projects!F174&lt;&gt;""),
INDEX('Duration Table'!$D$7:$H$17,MATCH(Projects!E174,'Duration Table'!$C$7:$C$17,0),MATCH(Projects!F174,'Duration Table'!$D$6:$H$6)),
   ""
)</f>
        <v/>
      </c>
      <c r="M165" s="45" t="str" cm="1">
        <f t="array" ref="M165">_xlfn.IFS(
    G165&lt;&gt;"",G165,
    H165&lt;&gt;"",EDATE(H165,-0.25*L165),
    N165&lt;&gt;"",EDATE(N165,-0.25*L165),
    TRUE,""
)</f>
        <v/>
      </c>
      <c r="N165" s="45" t="str" cm="1">
        <f t="array" ref="N165">_xlfn.IFS(
    H165&lt;&gt;"", H165,
    COUNT(G165,I165)=2, (G165 + (DATEDIF(G165,I165,"d")*0.5)),
    COUNT(G165,J165)=2, (G165 + (DATEDIF(G165,J165,"d")*0.25)),
    COUNT(G165,K165)=2, (G165 + ((DATEDIF(G165,K165,"d")-90)*0.25)),
    COUNT(I165,J165)=2, (I165 -(DATEDIF(I165,J165,"d")*0.5)),
    COUNT(I165,K165)=2, (I165 -((DATEDIF(I165,K165,"d")-90)*0.5)),
    G165&lt;&gt;"", EDATE(G165, + L165*0.25),
    I165&lt;&gt;"", EDATE(I165, - L165*0.25),
    J165&lt;&gt;"", EDATE(J165, - L165*0.75),
    K165&lt;&gt;"", EDATE(K165, -((L165*0.75)+3)),
    TRUE, ""
)</f>
        <v/>
      </c>
      <c r="O165" s="45" t="str" cm="1">
        <f t="array" ref="O165">_xlfn.IFS(
    I165&lt;&gt;"", I165,
    COUNT(H165,J165)=2, (H165 + (DATEDIF(H165,J165,"d")*0.33)),
    COUNT(H165,K165)=2, (H165 + ((DATEDIF(H165,K165,"d")-90)*0.33)),
    COUNT(G165,J165)=2, (G165 +  DATEDIF(G165,J165,"d")*0.5),
    COUNT(G165,K165)=2, (G165 + (DATEDIF(G165,K165,"d")-90)*0.5),
    G165&lt;&gt;"", EDATE(G165, + L165*0.5),
    H165&lt;&gt;"", EDATE(H165, + L165*0.25),
    J165&lt;&gt;"", EDATE(J165, - L165*0.5),
    K165&lt;&gt;"", EDATE(K165, -((L165*0.5)+3)),
    TRUE, ""
)</f>
        <v/>
      </c>
      <c r="P165" s="45" t="str" cm="1">
        <f t="array" ref="P165">_xlfn.IFS(
    J165&lt;&gt;"", J165,
    K165&lt;&gt;"", EDATE(K165, -3),
    G165&lt;&gt;"", EDATE(G165, + L165),
    H165&lt;&gt;"", EDATE(H165, + L165*0.75),
    I165&lt;&gt;"", EDATE(I165, H L165*0.5),
    TRUE, ""
)</f>
        <v/>
      </c>
      <c r="Q165" s="45" t="str" cm="1">
        <f t="array" ref="Q165">_xlfn.IFS(
    K165&lt;&gt;"",K165,
    J165&lt;&gt;"",EDATE(J165,3),
    P165&lt;&gt;"",EDATE(P165,3),
    TRUE,""
)</f>
        <v/>
      </c>
    </row>
    <row r="166" spans="1:17" x14ac:dyDescent="0.3">
      <c r="A166" t="str">
        <f>IF(AND(Projects!A175="", Projects!B175=""), "", IF(Projects!A175="", "Unassigned", Projects!A175))</f>
        <v/>
      </c>
      <c r="B166" t="str">
        <f>IF(Projects!B175&lt;&gt;"",Projects!B175,"")</f>
        <v/>
      </c>
      <c r="C166" t="str">
        <f>IF(AND(Projects!C175="", Projects!B175=""), "", IF(Projects!C175="", "None", Projects!C175))</f>
        <v/>
      </c>
      <c r="D166" t="str">
        <f>IF(AND(Projects!D175="", Projects!B175=""), "", IF(Projects!D175="", "No OpCo", Projects!D175))</f>
        <v/>
      </c>
      <c r="E166" t="str">
        <f>IF(Projects!E175&lt;&gt;"",Projects!E175,"")</f>
        <v/>
      </c>
      <c r="F166" t="str">
        <f>IF(Projects!F175&lt;&gt;"",Projects!F175,"")</f>
        <v/>
      </c>
      <c r="G166" s="45" t="str">
        <f>IF(Projects!G175&lt;&gt;"",Projects!G175,"")</f>
        <v/>
      </c>
      <c r="H166" s="45" t="str">
        <f>IF(Projects!H175&lt;&gt;"",Projects!H175,"")</f>
        <v/>
      </c>
      <c r="I166" s="45" t="str">
        <f>IF(Projects!I175&lt;&gt;"",Projects!I175,"")</f>
        <v/>
      </c>
      <c r="J166" s="45" t="str">
        <f>IF(Projects!J175&lt;&gt;"",Projects!J175,"")</f>
        <v/>
      </c>
      <c r="K166" s="45" t="str">
        <f>IF(Projects!K175&lt;&gt;"",Projects!K175,"")</f>
        <v/>
      </c>
      <c r="L166" t="str">
        <f>IF(AND(Projects!E175&lt;&gt;"", Projects!F175&lt;&gt;""),
INDEX('Duration Table'!$D$7:$H$17,MATCH(Projects!E175,'Duration Table'!$C$7:$C$17,0),MATCH(Projects!F175,'Duration Table'!$D$6:$H$6)),
   ""
)</f>
        <v/>
      </c>
      <c r="M166" s="45" t="str" cm="1">
        <f t="array" ref="M166">_xlfn.IFS(
    G166&lt;&gt;"",G166,
    H166&lt;&gt;"",EDATE(H166,-0.25*L166),
    N166&lt;&gt;"",EDATE(N166,-0.25*L166),
    TRUE,""
)</f>
        <v/>
      </c>
      <c r="N166" s="45" t="str" cm="1">
        <f t="array" ref="N166">_xlfn.IFS(
    H166&lt;&gt;"", H166,
    COUNT(G166,I166)=2, (G166 + (DATEDIF(G166,I166,"d")*0.5)),
    COUNT(G166,J166)=2, (G166 + (DATEDIF(G166,J166,"d")*0.25)),
    COUNT(G166,K166)=2, (G166 + ((DATEDIF(G166,K166,"d")-90)*0.25)),
    COUNT(I166,J166)=2, (I166 -(DATEDIF(I166,J166,"d")*0.5)),
    COUNT(I166,K166)=2, (I166 -((DATEDIF(I166,K166,"d")-90)*0.5)),
    G166&lt;&gt;"", EDATE(G166, + L166*0.25),
    I166&lt;&gt;"", EDATE(I166, - L166*0.25),
    J166&lt;&gt;"", EDATE(J166, - L166*0.75),
    K166&lt;&gt;"", EDATE(K166, -((L166*0.75)+3)),
    TRUE, ""
)</f>
        <v/>
      </c>
      <c r="O166" s="45" t="str" cm="1">
        <f t="array" ref="O166">_xlfn.IFS(
    I166&lt;&gt;"", I166,
    COUNT(H166,J166)=2, (H166 + (DATEDIF(H166,J166,"d")*0.33)),
    COUNT(H166,K166)=2, (H166 + ((DATEDIF(H166,K166,"d")-90)*0.33)),
    COUNT(G166,J166)=2, (G166 +  DATEDIF(G166,J166,"d")*0.5),
    COUNT(G166,K166)=2, (G166 + (DATEDIF(G166,K166,"d")-90)*0.5),
    G166&lt;&gt;"", EDATE(G166, + L166*0.5),
    H166&lt;&gt;"", EDATE(H166, + L166*0.25),
    J166&lt;&gt;"", EDATE(J166, - L166*0.5),
    K166&lt;&gt;"", EDATE(K166, -((L166*0.5)+3)),
    TRUE, ""
)</f>
        <v/>
      </c>
      <c r="P166" s="45" t="str" cm="1">
        <f t="array" ref="P166">_xlfn.IFS(
    J166&lt;&gt;"", J166,
    K166&lt;&gt;"", EDATE(K166, -3),
    G166&lt;&gt;"", EDATE(G166, + L166),
    H166&lt;&gt;"", EDATE(H166, + L166*0.75),
    I166&lt;&gt;"", EDATE(I166, H L166*0.5),
    TRUE, ""
)</f>
        <v/>
      </c>
      <c r="Q166" s="45" t="str" cm="1">
        <f t="array" ref="Q166">_xlfn.IFS(
    K166&lt;&gt;"",K166,
    J166&lt;&gt;"",EDATE(J166,3),
    P166&lt;&gt;"",EDATE(P166,3),
    TRUE,""
)</f>
        <v/>
      </c>
    </row>
    <row r="167" spans="1:17" x14ac:dyDescent="0.3">
      <c r="A167" t="str">
        <f>IF(AND(Projects!A176="", Projects!B176=""), "", IF(Projects!A176="", "Unassigned", Projects!A176))</f>
        <v/>
      </c>
      <c r="B167" t="str">
        <f>IF(Projects!B176&lt;&gt;"",Projects!B176,"")</f>
        <v/>
      </c>
      <c r="C167" t="str">
        <f>IF(AND(Projects!C176="", Projects!B176=""), "", IF(Projects!C176="", "None", Projects!C176))</f>
        <v/>
      </c>
      <c r="D167" t="str">
        <f>IF(AND(Projects!D176="", Projects!B176=""), "", IF(Projects!D176="", "No OpCo", Projects!D176))</f>
        <v/>
      </c>
      <c r="E167" t="str">
        <f>IF(Projects!E176&lt;&gt;"",Projects!E176,"")</f>
        <v/>
      </c>
      <c r="F167" t="str">
        <f>IF(Projects!F176&lt;&gt;"",Projects!F176,"")</f>
        <v/>
      </c>
      <c r="G167" s="45" t="str">
        <f>IF(Projects!G176&lt;&gt;"",Projects!G176,"")</f>
        <v/>
      </c>
      <c r="H167" s="45" t="str">
        <f>IF(Projects!H176&lt;&gt;"",Projects!H176,"")</f>
        <v/>
      </c>
      <c r="I167" s="45" t="str">
        <f>IF(Projects!I176&lt;&gt;"",Projects!I176,"")</f>
        <v/>
      </c>
      <c r="J167" s="45" t="str">
        <f>IF(Projects!J176&lt;&gt;"",Projects!J176,"")</f>
        <v/>
      </c>
      <c r="K167" s="45" t="str">
        <f>IF(Projects!K176&lt;&gt;"",Projects!K176,"")</f>
        <v/>
      </c>
      <c r="L167" t="str">
        <f>IF(AND(Projects!E176&lt;&gt;"", Projects!F176&lt;&gt;""),
INDEX('Duration Table'!$D$7:$H$17,MATCH(Projects!E176,'Duration Table'!$C$7:$C$17,0),MATCH(Projects!F176,'Duration Table'!$D$6:$H$6)),
   ""
)</f>
        <v/>
      </c>
      <c r="M167" s="45" t="str" cm="1">
        <f t="array" ref="M167">_xlfn.IFS(
    G167&lt;&gt;"",G167,
    H167&lt;&gt;"",EDATE(H167,-0.25*L167),
    N167&lt;&gt;"",EDATE(N167,-0.25*L167),
    TRUE,""
)</f>
        <v/>
      </c>
      <c r="N167" s="45" t="str" cm="1">
        <f t="array" ref="N167">_xlfn.IFS(
    H167&lt;&gt;"", H167,
    COUNT(G167,I167)=2, (G167 + (DATEDIF(G167,I167,"d")*0.5)),
    COUNT(G167,J167)=2, (G167 + (DATEDIF(G167,J167,"d")*0.25)),
    COUNT(G167,K167)=2, (G167 + ((DATEDIF(G167,K167,"d")-90)*0.25)),
    COUNT(I167,J167)=2, (I167 -(DATEDIF(I167,J167,"d")*0.5)),
    COUNT(I167,K167)=2, (I167 -((DATEDIF(I167,K167,"d")-90)*0.5)),
    G167&lt;&gt;"", EDATE(G167, + L167*0.25),
    I167&lt;&gt;"", EDATE(I167, - L167*0.25),
    J167&lt;&gt;"", EDATE(J167, - L167*0.75),
    K167&lt;&gt;"", EDATE(K167, -((L167*0.75)+3)),
    TRUE, ""
)</f>
        <v/>
      </c>
      <c r="O167" s="45" t="str" cm="1">
        <f t="array" ref="O167">_xlfn.IFS(
    I167&lt;&gt;"", I167,
    COUNT(H167,J167)=2, (H167 + (DATEDIF(H167,J167,"d")*0.33)),
    COUNT(H167,K167)=2, (H167 + ((DATEDIF(H167,K167,"d")-90)*0.33)),
    COUNT(G167,J167)=2, (G167 +  DATEDIF(G167,J167,"d")*0.5),
    COUNT(G167,K167)=2, (G167 + (DATEDIF(G167,K167,"d")-90)*0.5),
    G167&lt;&gt;"", EDATE(G167, + L167*0.5),
    H167&lt;&gt;"", EDATE(H167, + L167*0.25),
    J167&lt;&gt;"", EDATE(J167, - L167*0.5),
    K167&lt;&gt;"", EDATE(K167, -((L167*0.5)+3)),
    TRUE, ""
)</f>
        <v/>
      </c>
      <c r="P167" s="45" t="str" cm="1">
        <f t="array" ref="P167">_xlfn.IFS(
    J167&lt;&gt;"", J167,
    K167&lt;&gt;"", EDATE(K167, -3),
    G167&lt;&gt;"", EDATE(G167, + L167),
    H167&lt;&gt;"", EDATE(H167, + L167*0.75),
    I167&lt;&gt;"", EDATE(I167, H L167*0.5),
    TRUE, ""
)</f>
        <v/>
      </c>
      <c r="Q167" s="45" t="str" cm="1">
        <f t="array" ref="Q167">_xlfn.IFS(
    K167&lt;&gt;"",K167,
    J167&lt;&gt;"",EDATE(J167,3),
    P167&lt;&gt;"",EDATE(P167,3),
    TRUE,""
)</f>
        <v/>
      </c>
    </row>
    <row r="168" spans="1:17" x14ac:dyDescent="0.3">
      <c r="A168" t="str">
        <f>IF(AND(Projects!A177="", Projects!B177=""), "", IF(Projects!A177="", "Unassigned", Projects!A177))</f>
        <v/>
      </c>
      <c r="B168" t="str">
        <f>IF(Projects!B177&lt;&gt;"",Projects!B177,"")</f>
        <v/>
      </c>
      <c r="C168" t="str">
        <f>IF(AND(Projects!C177="", Projects!B177=""), "", IF(Projects!C177="", "None", Projects!C177))</f>
        <v/>
      </c>
      <c r="D168" t="str">
        <f>IF(AND(Projects!D177="", Projects!B177=""), "", IF(Projects!D177="", "No OpCo", Projects!D177))</f>
        <v/>
      </c>
      <c r="E168" t="str">
        <f>IF(Projects!E177&lt;&gt;"",Projects!E177,"")</f>
        <v/>
      </c>
      <c r="F168" t="str">
        <f>IF(Projects!F177&lt;&gt;"",Projects!F177,"")</f>
        <v/>
      </c>
      <c r="G168" s="45" t="str">
        <f>IF(Projects!G177&lt;&gt;"",Projects!G177,"")</f>
        <v/>
      </c>
      <c r="H168" s="45" t="str">
        <f>IF(Projects!H177&lt;&gt;"",Projects!H177,"")</f>
        <v/>
      </c>
      <c r="I168" s="45" t="str">
        <f>IF(Projects!I177&lt;&gt;"",Projects!I177,"")</f>
        <v/>
      </c>
      <c r="J168" s="45" t="str">
        <f>IF(Projects!J177&lt;&gt;"",Projects!J177,"")</f>
        <v/>
      </c>
      <c r="K168" s="45" t="str">
        <f>IF(Projects!K177&lt;&gt;"",Projects!K177,"")</f>
        <v/>
      </c>
      <c r="L168" t="str">
        <f>IF(AND(Projects!E177&lt;&gt;"", Projects!F177&lt;&gt;""),
INDEX('Duration Table'!$D$7:$H$17,MATCH(Projects!E177,'Duration Table'!$C$7:$C$17,0),MATCH(Projects!F177,'Duration Table'!$D$6:$H$6)),
   ""
)</f>
        <v/>
      </c>
      <c r="M168" s="45" t="str" cm="1">
        <f t="array" ref="M168">_xlfn.IFS(
    G168&lt;&gt;"",G168,
    H168&lt;&gt;"",EDATE(H168,-0.25*L168),
    N168&lt;&gt;"",EDATE(N168,-0.25*L168),
    TRUE,""
)</f>
        <v/>
      </c>
      <c r="N168" s="45" t="str" cm="1">
        <f t="array" ref="N168">_xlfn.IFS(
    H168&lt;&gt;"", H168,
    COUNT(G168,I168)=2, (G168 + (DATEDIF(G168,I168,"d")*0.5)),
    COUNT(G168,J168)=2, (G168 + (DATEDIF(G168,J168,"d")*0.25)),
    COUNT(G168,K168)=2, (G168 + ((DATEDIF(G168,K168,"d")-90)*0.25)),
    COUNT(I168,J168)=2, (I168 -(DATEDIF(I168,J168,"d")*0.5)),
    COUNT(I168,K168)=2, (I168 -((DATEDIF(I168,K168,"d")-90)*0.5)),
    G168&lt;&gt;"", EDATE(G168, + L168*0.25),
    I168&lt;&gt;"", EDATE(I168, - L168*0.25),
    J168&lt;&gt;"", EDATE(J168, - L168*0.75),
    K168&lt;&gt;"", EDATE(K168, -((L168*0.75)+3)),
    TRUE, ""
)</f>
        <v/>
      </c>
      <c r="O168" s="45" t="str" cm="1">
        <f t="array" ref="O168">_xlfn.IFS(
    I168&lt;&gt;"", I168,
    COUNT(H168,J168)=2, (H168 + (DATEDIF(H168,J168,"d")*0.33)),
    COUNT(H168,K168)=2, (H168 + ((DATEDIF(H168,K168,"d")-90)*0.33)),
    COUNT(G168,J168)=2, (G168 +  DATEDIF(G168,J168,"d")*0.5),
    COUNT(G168,K168)=2, (G168 + (DATEDIF(G168,K168,"d")-90)*0.5),
    G168&lt;&gt;"", EDATE(G168, + L168*0.5),
    H168&lt;&gt;"", EDATE(H168, + L168*0.25),
    J168&lt;&gt;"", EDATE(J168, - L168*0.5),
    K168&lt;&gt;"", EDATE(K168, -((L168*0.5)+3)),
    TRUE, ""
)</f>
        <v/>
      </c>
      <c r="P168" s="45" t="str" cm="1">
        <f t="array" ref="P168">_xlfn.IFS(
    J168&lt;&gt;"", J168,
    K168&lt;&gt;"", EDATE(K168, -3),
    G168&lt;&gt;"", EDATE(G168, + L168),
    H168&lt;&gt;"", EDATE(H168, + L168*0.75),
    I168&lt;&gt;"", EDATE(I168, H L168*0.5),
    TRUE, ""
)</f>
        <v/>
      </c>
      <c r="Q168" s="45" t="str" cm="1">
        <f t="array" ref="Q168">_xlfn.IFS(
    K168&lt;&gt;"",K168,
    J168&lt;&gt;"",EDATE(J168,3),
    P168&lt;&gt;"",EDATE(P168,3),
    TRUE,""
)</f>
        <v/>
      </c>
    </row>
    <row r="169" spans="1:17" x14ac:dyDescent="0.3">
      <c r="A169" t="str">
        <f>IF(AND(Projects!A178="", Projects!B178=""), "", IF(Projects!A178="", "Unassigned", Projects!A178))</f>
        <v/>
      </c>
      <c r="B169" t="str">
        <f>IF(Projects!B178&lt;&gt;"",Projects!B178,"")</f>
        <v/>
      </c>
      <c r="C169" t="str">
        <f>IF(AND(Projects!C178="", Projects!B178=""), "", IF(Projects!C178="", "None", Projects!C178))</f>
        <v/>
      </c>
      <c r="D169" t="str">
        <f>IF(AND(Projects!D178="", Projects!B178=""), "", IF(Projects!D178="", "No OpCo", Projects!D178))</f>
        <v/>
      </c>
      <c r="E169" t="str">
        <f>IF(Projects!E178&lt;&gt;"",Projects!E178,"")</f>
        <v/>
      </c>
      <c r="F169" t="str">
        <f>IF(Projects!F178&lt;&gt;"",Projects!F178,"")</f>
        <v/>
      </c>
      <c r="G169" s="45" t="str">
        <f>IF(Projects!G178&lt;&gt;"",Projects!G178,"")</f>
        <v/>
      </c>
      <c r="H169" s="45" t="str">
        <f>IF(Projects!H178&lt;&gt;"",Projects!H178,"")</f>
        <v/>
      </c>
      <c r="I169" s="45" t="str">
        <f>IF(Projects!I178&lt;&gt;"",Projects!I178,"")</f>
        <v/>
      </c>
      <c r="J169" s="45" t="str">
        <f>IF(Projects!J178&lt;&gt;"",Projects!J178,"")</f>
        <v/>
      </c>
      <c r="K169" s="45" t="str">
        <f>IF(Projects!K178&lt;&gt;"",Projects!K178,"")</f>
        <v/>
      </c>
      <c r="L169" t="str">
        <f>IF(AND(Projects!E178&lt;&gt;"", Projects!F178&lt;&gt;""),
INDEX('Duration Table'!$D$7:$H$17,MATCH(Projects!E178,'Duration Table'!$C$7:$C$17,0),MATCH(Projects!F178,'Duration Table'!$D$6:$H$6)),
   ""
)</f>
        <v/>
      </c>
      <c r="M169" s="45" t="str" cm="1">
        <f t="array" ref="M169">_xlfn.IFS(
    G169&lt;&gt;"",G169,
    H169&lt;&gt;"",EDATE(H169,-0.25*L169),
    N169&lt;&gt;"",EDATE(N169,-0.25*L169),
    TRUE,""
)</f>
        <v/>
      </c>
      <c r="N169" s="45" t="str" cm="1">
        <f t="array" ref="N169">_xlfn.IFS(
    H169&lt;&gt;"", H169,
    COUNT(G169,I169)=2, (G169 + (DATEDIF(G169,I169,"d")*0.5)),
    COUNT(G169,J169)=2, (G169 + (DATEDIF(G169,J169,"d")*0.25)),
    COUNT(G169,K169)=2, (G169 + ((DATEDIF(G169,K169,"d")-90)*0.25)),
    COUNT(I169,J169)=2, (I169 -(DATEDIF(I169,J169,"d")*0.5)),
    COUNT(I169,K169)=2, (I169 -((DATEDIF(I169,K169,"d")-90)*0.5)),
    G169&lt;&gt;"", EDATE(G169, + L169*0.25),
    I169&lt;&gt;"", EDATE(I169, - L169*0.25),
    J169&lt;&gt;"", EDATE(J169, - L169*0.75),
    K169&lt;&gt;"", EDATE(K169, -((L169*0.75)+3)),
    TRUE, ""
)</f>
        <v/>
      </c>
      <c r="O169" s="45" t="str" cm="1">
        <f t="array" ref="O169">_xlfn.IFS(
    I169&lt;&gt;"", I169,
    COUNT(H169,J169)=2, (H169 + (DATEDIF(H169,J169,"d")*0.33)),
    COUNT(H169,K169)=2, (H169 + ((DATEDIF(H169,K169,"d")-90)*0.33)),
    COUNT(G169,J169)=2, (G169 +  DATEDIF(G169,J169,"d")*0.5),
    COUNT(G169,K169)=2, (G169 + (DATEDIF(G169,K169,"d")-90)*0.5),
    G169&lt;&gt;"", EDATE(G169, + L169*0.5),
    H169&lt;&gt;"", EDATE(H169, + L169*0.25),
    J169&lt;&gt;"", EDATE(J169, - L169*0.5),
    K169&lt;&gt;"", EDATE(K169, -((L169*0.5)+3)),
    TRUE, ""
)</f>
        <v/>
      </c>
      <c r="P169" s="45" t="str" cm="1">
        <f t="array" ref="P169">_xlfn.IFS(
    J169&lt;&gt;"", J169,
    K169&lt;&gt;"", EDATE(K169, -3),
    G169&lt;&gt;"", EDATE(G169, + L169),
    H169&lt;&gt;"", EDATE(H169, + L169*0.75),
    I169&lt;&gt;"", EDATE(I169, H L169*0.5),
    TRUE, ""
)</f>
        <v/>
      </c>
      <c r="Q169" s="45" t="str" cm="1">
        <f t="array" ref="Q169">_xlfn.IFS(
    K169&lt;&gt;"",K169,
    J169&lt;&gt;"",EDATE(J169,3),
    P169&lt;&gt;"",EDATE(P169,3),
    TRUE,""
)</f>
        <v/>
      </c>
    </row>
    <row r="170" spans="1:17" x14ac:dyDescent="0.3">
      <c r="A170" t="str">
        <f>IF(AND(Projects!A179="", Projects!B179=""), "", IF(Projects!A179="", "Unassigned", Projects!A179))</f>
        <v/>
      </c>
      <c r="B170" t="str">
        <f>IF(Projects!B179&lt;&gt;"",Projects!B179,"")</f>
        <v/>
      </c>
      <c r="C170" t="str">
        <f>IF(AND(Projects!C179="", Projects!B179=""), "", IF(Projects!C179="", "None", Projects!C179))</f>
        <v/>
      </c>
      <c r="D170" t="str">
        <f>IF(AND(Projects!D179="", Projects!B179=""), "", IF(Projects!D179="", "No OpCo", Projects!D179))</f>
        <v/>
      </c>
      <c r="E170" t="str">
        <f>IF(Projects!E179&lt;&gt;"",Projects!E179,"")</f>
        <v/>
      </c>
      <c r="F170" t="str">
        <f>IF(Projects!F179&lt;&gt;"",Projects!F179,"")</f>
        <v/>
      </c>
      <c r="G170" s="45" t="str">
        <f>IF(Projects!G179&lt;&gt;"",Projects!G179,"")</f>
        <v/>
      </c>
      <c r="H170" s="45" t="str">
        <f>IF(Projects!H179&lt;&gt;"",Projects!H179,"")</f>
        <v/>
      </c>
      <c r="I170" s="45" t="str">
        <f>IF(Projects!I179&lt;&gt;"",Projects!I179,"")</f>
        <v/>
      </c>
      <c r="J170" s="45" t="str">
        <f>IF(Projects!J179&lt;&gt;"",Projects!J179,"")</f>
        <v/>
      </c>
      <c r="K170" s="45" t="str">
        <f>IF(Projects!K179&lt;&gt;"",Projects!K179,"")</f>
        <v/>
      </c>
      <c r="L170" t="str">
        <f>IF(AND(Projects!E179&lt;&gt;"", Projects!F179&lt;&gt;""),
INDEX('Duration Table'!$D$7:$H$17,MATCH(Projects!E179,'Duration Table'!$C$7:$C$17,0),MATCH(Projects!F179,'Duration Table'!$D$6:$H$6)),
   ""
)</f>
        <v/>
      </c>
      <c r="M170" s="45" t="str" cm="1">
        <f t="array" ref="M170">_xlfn.IFS(
    G170&lt;&gt;"",G170,
    H170&lt;&gt;"",EDATE(H170,-0.25*L170),
    N170&lt;&gt;"",EDATE(N170,-0.25*L170),
    TRUE,""
)</f>
        <v/>
      </c>
      <c r="N170" s="45" t="str" cm="1">
        <f t="array" ref="N170">_xlfn.IFS(
    H170&lt;&gt;"", H170,
    COUNT(G170,I170)=2, (G170 + (DATEDIF(G170,I170,"d")*0.5)),
    COUNT(G170,J170)=2, (G170 + (DATEDIF(G170,J170,"d")*0.25)),
    COUNT(G170,K170)=2, (G170 + ((DATEDIF(G170,K170,"d")-90)*0.25)),
    COUNT(I170,J170)=2, (I170 -(DATEDIF(I170,J170,"d")*0.5)),
    COUNT(I170,K170)=2, (I170 -((DATEDIF(I170,K170,"d")-90)*0.5)),
    G170&lt;&gt;"", EDATE(G170, + L170*0.25),
    I170&lt;&gt;"", EDATE(I170, - L170*0.25),
    J170&lt;&gt;"", EDATE(J170, - L170*0.75),
    K170&lt;&gt;"", EDATE(K170, -((L170*0.75)+3)),
    TRUE, ""
)</f>
        <v/>
      </c>
      <c r="O170" s="45" t="str" cm="1">
        <f t="array" ref="O170">_xlfn.IFS(
    I170&lt;&gt;"", I170,
    COUNT(H170,J170)=2, (H170 + (DATEDIF(H170,J170,"d")*0.33)),
    COUNT(H170,K170)=2, (H170 + ((DATEDIF(H170,K170,"d")-90)*0.33)),
    COUNT(G170,J170)=2, (G170 +  DATEDIF(G170,J170,"d")*0.5),
    COUNT(G170,K170)=2, (G170 + (DATEDIF(G170,K170,"d")-90)*0.5),
    G170&lt;&gt;"", EDATE(G170, + L170*0.5),
    H170&lt;&gt;"", EDATE(H170, + L170*0.25),
    J170&lt;&gt;"", EDATE(J170, - L170*0.5),
    K170&lt;&gt;"", EDATE(K170, -((L170*0.5)+3)),
    TRUE, ""
)</f>
        <v/>
      </c>
      <c r="P170" s="45" t="str" cm="1">
        <f t="array" ref="P170">_xlfn.IFS(
    J170&lt;&gt;"", J170,
    K170&lt;&gt;"", EDATE(K170, -3),
    G170&lt;&gt;"", EDATE(G170, + L170),
    H170&lt;&gt;"", EDATE(H170, + L170*0.75),
    I170&lt;&gt;"", EDATE(I170, H L170*0.5),
    TRUE, ""
)</f>
        <v/>
      </c>
      <c r="Q170" s="45" t="str" cm="1">
        <f t="array" ref="Q170">_xlfn.IFS(
    K170&lt;&gt;"",K170,
    J170&lt;&gt;"",EDATE(J170,3),
    P170&lt;&gt;"",EDATE(P170,3),
    TRUE,""
)</f>
        <v/>
      </c>
    </row>
    <row r="171" spans="1:17" x14ac:dyDescent="0.3">
      <c r="A171" t="str">
        <f>IF(AND(Projects!A180="", Projects!B180=""), "", IF(Projects!A180="", "Unassigned", Projects!A180))</f>
        <v/>
      </c>
      <c r="B171" t="str">
        <f>IF(Projects!B180&lt;&gt;"",Projects!B180,"")</f>
        <v/>
      </c>
      <c r="C171" t="str">
        <f>IF(AND(Projects!C180="", Projects!B180=""), "", IF(Projects!C180="", "None", Projects!C180))</f>
        <v/>
      </c>
      <c r="D171" t="str">
        <f>IF(AND(Projects!D180="", Projects!B180=""), "", IF(Projects!D180="", "No OpCo", Projects!D180))</f>
        <v/>
      </c>
      <c r="E171" t="str">
        <f>IF(Projects!E180&lt;&gt;"",Projects!E180,"")</f>
        <v/>
      </c>
      <c r="F171" t="str">
        <f>IF(Projects!F180&lt;&gt;"",Projects!F180,"")</f>
        <v/>
      </c>
      <c r="G171" s="45" t="str">
        <f>IF(Projects!G180&lt;&gt;"",Projects!G180,"")</f>
        <v/>
      </c>
      <c r="H171" s="45" t="str">
        <f>IF(Projects!H180&lt;&gt;"",Projects!H180,"")</f>
        <v/>
      </c>
      <c r="I171" s="45" t="str">
        <f>IF(Projects!I180&lt;&gt;"",Projects!I180,"")</f>
        <v/>
      </c>
      <c r="J171" s="45" t="str">
        <f>IF(Projects!J180&lt;&gt;"",Projects!J180,"")</f>
        <v/>
      </c>
      <c r="K171" s="45" t="str">
        <f>IF(Projects!K180&lt;&gt;"",Projects!K180,"")</f>
        <v/>
      </c>
      <c r="L171" t="str">
        <f>IF(AND(Projects!E180&lt;&gt;"", Projects!F180&lt;&gt;""),
INDEX('Duration Table'!$D$7:$H$17,MATCH(Projects!E180,'Duration Table'!$C$7:$C$17,0),MATCH(Projects!F180,'Duration Table'!$D$6:$H$6)),
   ""
)</f>
        <v/>
      </c>
      <c r="M171" s="45" t="str" cm="1">
        <f t="array" ref="M171">_xlfn.IFS(
    G171&lt;&gt;"",G171,
    H171&lt;&gt;"",EDATE(H171,-0.25*L171),
    N171&lt;&gt;"",EDATE(N171,-0.25*L171),
    TRUE,""
)</f>
        <v/>
      </c>
      <c r="N171" s="45" t="str" cm="1">
        <f t="array" ref="N171">_xlfn.IFS(
    H171&lt;&gt;"", H171,
    COUNT(G171,I171)=2, (G171 + (DATEDIF(G171,I171,"d")*0.5)),
    COUNT(G171,J171)=2, (G171 + (DATEDIF(G171,J171,"d")*0.25)),
    COUNT(G171,K171)=2, (G171 + ((DATEDIF(G171,K171,"d")-90)*0.25)),
    COUNT(I171,J171)=2, (I171 -(DATEDIF(I171,J171,"d")*0.5)),
    COUNT(I171,K171)=2, (I171 -((DATEDIF(I171,K171,"d")-90)*0.5)),
    G171&lt;&gt;"", EDATE(G171, + L171*0.25),
    I171&lt;&gt;"", EDATE(I171, - L171*0.25),
    J171&lt;&gt;"", EDATE(J171, - L171*0.75),
    K171&lt;&gt;"", EDATE(K171, -((L171*0.75)+3)),
    TRUE, ""
)</f>
        <v/>
      </c>
      <c r="O171" s="45" t="str" cm="1">
        <f t="array" ref="O171">_xlfn.IFS(
    I171&lt;&gt;"", I171,
    COUNT(H171,J171)=2, (H171 + (DATEDIF(H171,J171,"d")*0.33)),
    COUNT(H171,K171)=2, (H171 + ((DATEDIF(H171,K171,"d")-90)*0.33)),
    COUNT(G171,J171)=2, (G171 +  DATEDIF(G171,J171,"d")*0.5),
    COUNT(G171,K171)=2, (G171 + (DATEDIF(G171,K171,"d")-90)*0.5),
    G171&lt;&gt;"", EDATE(G171, + L171*0.5),
    H171&lt;&gt;"", EDATE(H171, + L171*0.25),
    J171&lt;&gt;"", EDATE(J171, - L171*0.5),
    K171&lt;&gt;"", EDATE(K171, -((L171*0.5)+3)),
    TRUE, ""
)</f>
        <v/>
      </c>
      <c r="P171" s="45" t="str" cm="1">
        <f t="array" ref="P171">_xlfn.IFS(
    J171&lt;&gt;"", J171,
    K171&lt;&gt;"", EDATE(K171, -3),
    G171&lt;&gt;"", EDATE(G171, + L171),
    H171&lt;&gt;"", EDATE(H171, + L171*0.75),
    I171&lt;&gt;"", EDATE(I171, H L171*0.5),
    TRUE, ""
)</f>
        <v/>
      </c>
      <c r="Q171" s="45" t="str" cm="1">
        <f t="array" ref="Q171">_xlfn.IFS(
    K171&lt;&gt;"",K171,
    J171&lt;&gt;"",EDATE(J171,3),
    P171&lt;&gt;"",EDATE(P171,3),
    TRUE,""
)</f>
        <v/>
      </c>
    </row>
    <row r="172" spans="1:17" x14ac:dyDescent="0.3">
      <c r="A172" t="str">
        <f>IF(AND(Projects!A181="", Projects!B181=""), "", IF(Projects!A181="", "Unassigned", Projects!A181))</f>
        <v/>
      </c>
      <c r="B172" t="str">
        <f>IF(Projects!B181&lt;&gt;"",Projects!B181,"")</f>
        <v/>
      </c>
      <c r="C172" t="str">
        <f>IF(AND(Projects!C181="", Projects!B181=""), "", IF(Projects!C181="", "None", Projects!C181))</f>
        <v/>
      </c>
      <c r="D172" t="str">
        <f>IF(AND(Projects!D181="", Projects!B181=""), "", IF(Projects!D181="", "No OpCo", Projects!D181))</f>
        <v/>
      </c>
      <c r="E172" t="str">
        <f>IF(Projects!E181&lt;&gt;"",Projects!E181,"")</f>
        <v/>
      </c>
      <c r="F172" t="str">
        <f>IF(Projects!F181&lt;&gt;"",Projects!F181,"")</f>
        <v/>
      </c>
      <c r="G172" s="45" t="str">
        <f>IF(Projects!G181&lt;&gt;"",Projects!G181,"")</f>
        <v/>
      </c>
      <c r="H172" s="45" t="str">
        <f>IF(Projects!H181&lt;&gt;"",Projects!H181,"")</f>
        <v/>
      </c>
      <c r="I172" s="45" t="str">
        <f>IF(Projects!I181&lt;&gt;"",Projects!I181,"")</f>
        <v/>
      </c>
      <c r="J172" s="45" t="str">
        <f>IF(Projects!J181&lt;&gt;"",Projects!J181,"")</f>
        <v/>
      </c>
      <c r="K172" s="45" t="str">
        <f>IF(Projects!K181&lt;&gt;"",Projects!K181,"")</f>
        <v/>
      </c>
      <c r="L172" t="str">
        <f>IF(AND(Projects!E181&lt;&gt;"", Projects!F181&lt;&gt;""),
INDEX('Duration Table'!$D$7:$H$17,MATCH(Projects!E181,'Duration Table'!$C$7:$C$17,0),MATCH(Projects!F181,'Duration Table'!$D$6:$H$6)),
   ""
)</f>
        <v/>
      </c>
      <c r="M172" s="45" t="str" cm="1">
        <f t="array" ref="M172">_xlfn.IFS(
    G172&lt;&gt;"",G172,
    H172&lt;&gt;"",EDATE(H172,-0.25*L172),
    N172&lt;&gt;"",EDATE(N172,-0.25*L172),
    TRUE,""
)</f>
        <v/>
      </c>
      <c r="N172" s="45" t="str" cm="1">
        <f t="array" ref="N172">_xlfn.IFS(
    H172&lt;&gt;"", H172,
    COUNT(G172,I172)=2, (G172 + (DATEDIF(G172,I172,"d")*0.5)),
    COUNT(G172,J172)=2, (G172 + (DATEDIF(G172,J172,"d")*0.25)),
    COUNT(G172,K172)=2, (G172 + ((DATEDIF(G172,K172,"d")-90)*0.25)),
    COUNT(I172,J172)=2, (I172 -(DATEDIF(I172,J172,"d")*0.5)),
    COUNT(I172,K172)=2, (I172 -((DATEDIF(I172,K172,"d")-90)*0.5)),
    G172&lt;&gt;"", EDATE(G172, + L172*0.25),
    I172&lt;&gt;"", EDATE(I172, - L172*0.25),
    J172&lt;&gt;"", EDATE(J172, - L172*0.75),
    K172&lt;&gt;"", EDATE(K172, -((L172*0.75)+3)),
    TRUE, ""
)</f>
        <v/>
      </c>
      <c r="O172" s="45" t="str" cm="1">
        <f t="array" ref="O172">_xlfn.IFS(
    I172&lt;&gt;"", I172,
    COUNT(H172,J172)=2, (H172 + (DATEDIF(H172,J172,"d")*0.33)),
    COUNT(H172,K172)=2, (H172 + ((DATEDIF(H172,K172,"d")-90)*0.33)),
    COUNT(G172,J172)=2, (G172 +  DATEDIF(G172,J172,"d")*0.5),
    COUNT(G172,K172)=2, (G172 + (DATEDIF(G172,K172,"d")-90)*0.5),
    G172&lt;&gt;"", EDATE(G172, + L172*0.5),
    H172&lt;&gt;"", EDATE(H172, + L172*0.25),
    J172&lt;&gt;"", EDATE(J172, - L172*0.5),
    K172&lt;&gt;"", EDATE(K172, -((L172*0.5)+3)),
    TRUE, ""
)</f>
        <v/>
      </c>
      <c r="P172" s="45" t="str" cm="1">
        <f t="array" ref="P172">_xlfn.IFS(
    J172&lt;&gt;"", J172,
    K172&lt;&gt;"", EDATE(K172, -3),
    G172&lt;&gt;"", EDATE(G172, + L172),
    H172&lt;&gt;"", EDATE(H172, + L172*0.75),
    I172&lt;&gt;"", EDATE(I172, H L172*0.5),
    TRUE, ""
)</f>
        <v/>
      </c>
      <c r="Q172" s="45" t="str" cm="1">
        <f t="array" ref="Q172">_xlfn.IFS(
    K172&lt;&gt;"",K172,
    J172&lt;&gt;"",EDATE(J172,3),
    P172&lt;&gt;"",EDATE(P172,3),
    TRUE,""
)</f>
        <v/>
      </c>
    </row>
    <row r="173" spans="1:17" x14ac:dyDescent="0.3">
      <c r="A173" t="str">
        <f>IF(AND(Projects!A182="", Projects!B182=""), "", IF(Projects!A182="", "Unassigned", Projects!A182))</f>
        <v/>
      </c>
      <c r="B173" t="str">
        <f>IF(Projects!B182&lt;&gt;"",Projects!B182,"")</f>
        <v/>
      </c>
      <c r="C173" t="str">
        <f>IF(AND(Projects!C182="", Projects!B182=""), "", IF(Projects!C182="", "None", Projects!C182))</f>
        <v/>
      </c>
      <c r="D173" t="str">
        <f>IF(AND(Projects!D182="", Projects!B182=""), "", IF(Projects!D182="", "No OpCo", Projects!D182))</f>
        <v/>
      </c>
      <c r="E173" t="str">
        <f>IF(Projects!E182&lt;&gt;"",Projects!E182,"")</f>
        <v/>
      </c>
      <c r="F173" t="str">
        <f>IF(Projects!F182&lt;&gt;"",Projects!F182,"")</f>
        <v/>
      </c>
      <c r="G173" s="45" t="str">
        <f>IF(Projects!G182&lt;&gt;"",Projects!G182,"")</f>
        <v/>
      </c>
      <c r="H173" s="45" t="str">
        <f>IF(Projects!H182&lt;&gt;"",Projects!H182,"")</f>
        <v/>
      </c>
      <c r="I173" s="45" t="str">
        <f>IF(Projects!I182&lt;&gt;"",Projects!I182,"")</f>
        <v/>
      </c>
      <c r="J173" s="45" t="str">
        <f>IF(Projects!J182&lt;&gt;"",Projects!J182,"")</f>
        <v/>
      </c>
      <c r="K173" s="45" t="str">
        <f>IF(Projects!K182&lt;&gt;"",Projects!K182,"")</f>
        <v/>
      </c>
      <c r="L173" t="str">
        <f>IF(AND(Projects!E182&lt;&gt;"", Projects!F182&lt;&gt;""),
INDEX('Duration Table'!$D$7:$H$17,MATCH(Projects!E182,'Duration Table'!$C$7:$C$17,0),MATCH(Projects!F182,'Duration Table'!$D$6:$H$6)),
   ""
)</f>
        <v/>
      </c>
      <c r="M173" s="45" t="str" cm="1">
        <f t="array" ref="M173">_xlfn.IFS(
    G173&lt;&gt;"",G173,
    H173&lt;&gt;"",EDATE(H173,-0.25*L173),
    N173&lt;&gt;"",EDATE(N173,-0.25*L173),
    TRUE,""
)</f>
        <v/>
      </c>
      <c r="N173" s="45" t="str" cm="1">
        <f t="array" ref="N173">_xlfn.IFS(
    H173&lt;&gt;"", H173,
    COUNT(G173,I173)=2, (G173 + (DATEDIF(G173,I173,"d")*0.5)),
    COUNT(G173,J173)=2, (G173 + (DATEDIF(G173,J173,"d")*0.25)),
    COUNT(G173,K173)=2, (G173 + ((DATEDIF(G173,K173,"d")-90)*0.25)),
    COUNT(I173,J173)=2, (I173 -(DATEDIF(I173,J173,"d")*0.5)),
    COUNT(I173,K173)=2, (I173 -((DATEDIF(I173,K173,"d")-90)*0.5)),
    G173&lt;&gt;"", EDATE(G173, + L173*0.25),
    I173&lt;&gt;"", EDATE(I173, - L173*0.25),
    J173&lt;&gt;"", EDATE(J173, - L173*0.75),
    K173&lt;&gt;"", EDATE(K173, -((L173*0.75)+3)),
    TRUE, ""
)</f>
        <v/>
      </c>
      <c r="O173" s="45" t="str" cm="1">
        <f t="array" ref="O173">_xlfn.IFS(
    I173&lt;&gt;"", I173,
    COUNT(H173,J173)=2, (H173 + (DATEDIF(H173,J173,"d")*0.33)),
    COUNT(H173,K173)=2, (H173 + ((DATEDIF(H173,K173,"d")-90)*0.33)),
    COUNT(G173,J173)=2, (G173 +  DATEDIF(G173,J173,"d")*0.5),
    COUNT(G173,K173)=2, (G173 + (DATEDIF(G173,K173,"d")-90)*0.5),
    G173&lt;&gt;"", EDATE(G173, + L173*0.5),
    H173&lt;&gt;"", EDATE(H173, + L173*0.25),
    J173&lt;&gt;"", EDATE(J173, - L173*0.5),
    K173&lt;&gt;"", EDATE(K173, -((L173*0.5)+3)),
    TRUE, ""
)</f>
        <v/>
      </c>
      <c r="P173" s="45" t="str" cm="1">
        <f t="array" ref="P173">_xlfn.IFS(
    J173&lt;&gt;"", J173,
    K173&lt;&gt;"", EDATE(K173, -3),
    G173&lt;&gt;"", EDATE(G173, + L173),
    H173&lt;&gt;"", EDATE(H173, + L173*0.75),
    I173&lt;&gt;"", EDATE(I173, H L173*0.5),
    TRUE, ""
)</f>
        <v/>
      </c>
      <c r="Q173" s="45" t="str" cm="1">
        <f t="array" ref="Q173">_xlfn.IFS(
    K173&lt;&gt;"",K173,
    J173&lt;&gt;"",EDATE(J173,3),
    P173&lt;&gt;"",EDATE(P173,3),
    TRUE,""
)</f>
        <v/>
      </c>
    </row>
    <row r="174" spans="1:17" x14ac:dyDescent="0.3">
      <c r="A174" t="str">
        <f>IF(AND(Projects!A183="", Projects!B183=""), "", IF(Projects!A183="", "Unassigned", Projects!A183))</f>
        <v/>
      </c>
      <c r="B174" t="str">
        <f>IF(Projects!B183&lt;&gt;"",Projects!B183,"")</f>
        <v/>
      </c>
      <c r="C174" t="str">
        <f>IF(AND(Projects!C183="", Projects!B183=""), "", IF(Projects!C183="", "None", Projects!C183))</f>
        <v/>
      </c>
      <c r="D174" t="str">
        <f>IF(AND(Projects!D183="", Projects!B183=""), "", IF(Projects!D183="", "No OpCo", Projects!D183))</f>
        <v/>
      </c>
      <c r="E174" t="str">
        <f>IF(Projects!E183&lt;&gt;"",Projects!E183,"")</f>
        <v/>
      </c>
      <c r="F174" t="str">
        <f>IF(Projects!F183&lt;&gt;"",Projects!F183,"")</f>
        <v/>
      </c>
      <c r="G174" s="45" t="str">
        <f>IF(Projects!G183&lt;&gt;"",Projects!G183,"")</f>
        <v/>
      </c>
      <c r="H174" s="45" t="str">
        <f>IF(Projects!H183&lt;&gt;"",Projects!H183,"")</f>
        <v/>
      </c>
      <c r="I174" s="45" t="str">
        <f>IF(Projects!I183&lt;&gt;"",Projects!I183,"")</f>
        <v/>
      </c>
      <c r="J174" s="45" t="str">
        <f>IF(Projects!J183&lt;&gt;"",Projects!J183,"")</f>
        <v/>
      </c>
      <c r="K174" s="45" t="str">
        <f>IF(Projects!K183&lt;&gt;"",Projects!K183,"")</f>
        <v/>
      </c>
      <c r="L174" t="str">
        <f>IF(AND(Projects!E183&lt;&gt;"", Projects!F183&lt;&gt;""),
INDEX('Duration Table'!$D$7:$H$17,MATCH(Projects!E183,'Duration Table'!$C$7:$C$17,0),MATCH(Projects!F183,'Duration Table'!$D$6:$H$6)),
   ""
)</f>
        <v/>
      </c>
      <c r="M174" s="45" t="str" cm="1">
        <f t="array" ref="M174">_xlfn.IFS(
    G174&lt;&gt;"",G174,
    H174&lt;&gt;"",EDATE(H174,-0.25*L174),
    N174&lt;&gt;"",EDATE(N174,-0.25*L174),
    TRUE,""
)</f>
        <v/>
      </c>
      <c r="N174" s="45" t="str" cm="1">
        <f t="array" ref="N174">_xlfn.IFS(
    H174&lt;&gt;"", H174,
    COUNT(G174,I174)=2, (G174 + (DATEDIF(G174,I174,"d")*0.5)),
    COUNT(G174,J174)=2, (G174 + (DATEDIF(G174,J174,"d")*0.25)),
    COUNT(G174,K174)=2, (G174 + ((DATEDIF(G174,K174,"d")-90)*0.25)),
    COUNT(I174,J174)=2, (I174 -(DATEDIF(I174,J174,"d")*0.5)),
    COUNT(I174,K174)=2, (I174 -((DATEDIF(I174,K174,"d")-90)*0.5)),
    G174&lt;&gt;"", EDATE(G174, + L174*0.25),
    I174&lt;&gt;"", EDATE(I174, - L174*0.25),
    J174&lt;&gt;"", EDATE(J174, - L174*0.75),
    K174&lt;&gt;"", EDATE(K174, -((L174*0.75)+3)),
    TRUE, ""
)</f>
        <v/>
      </c>
      <c r="O174" s="45" t="str" cm="1">
        <f t="array" ref="O174">_xlfn.IFS(
    I174&lt;&gt;"", I174,
    COUNT(H174,J174)=2, (H174 + (DATEDIF(H174,J174,"d")*0.33)),
    COUNT(H174,K174)=2, (H174 + ((DATEDIF(H174,K174,"d")-90)*0.33)),
    COUNT(G174,J174)=2, (G174 +  DATEDIF(G174,J174,"d")*0.5),
    COUNT(G174,K174)=2, (G174 + (DATEDIF(G174,K174,"d")-90)*0.5),
    G174&lt;&gt;"", EDATE(G174, + L174*0.5),
    H174&lt;&gt;"", EDATE(H174, + L174*0.25),
    J174&lt;&gt;"", EDATE(J174, - L174*0.5),
    K174&lt;&gt;"", EDATE(K174, -((L174*0.5)+3)),
    TRUE, ""
)</f>
        <v/>
      </c>
      <c r="P174" s="45" t="str" cm="1">
        <f t="array" ref="P174">_xlfn.IFS(
    J174&lt;&gt;"", J174,
    K174&lt;&gt;"", EDATE(K174, -3),
    G174&lt;&gt;"", EDATE(G174, + L174),
    H174&lt;&gt;"", EDATE(H174, + L174*0.75),
    I174&lt;&gt;"", EDATE(I174, H L174*0.5),
    TRUE, ""
)</f>
        <v/>
      </c>
      <c r="Q174" s="45" t="str" cm="1">
        <f t="array" ref="Q174">_xlfn.IFS(
    K174&lt;&gt;"",K174,
    J174&lt;&gt;"",EDATE(J174,3),
    P174&lt;&gt;"",EDATE(P174,3),
    TRUE,""
)</f>
        <v/>
      </c>
    </row>
    <row r="175" spans="1:17" x14ac:dyDescent="0.3">
      <c r="A175" t="str">
        <f>IF(AND(Projects!A184="", Projects!B184=""), "", IF(Projects!A184="", "Unassigned", Projects!A184))</f>
        <v/>
      </c>
      <c r="B175" t="str">
        <f>IF(Projects!B184&lt;&gt;"",Projects!B184,"")</f>
        <v/>
      </c>
      <c r="C175" t="str">
        <f>IF(AND(Projects!C184="", Projects!B184=""), "", IF(Projects!C184="", "None", Projects!C184))</f>
        <v/>
      </c>
      <c r="D175" t="str">
        <f>IF(AND(Projects!D184="", Projects!B184=""), "", IF(Projects!D184="", "No OpCo", Projects!D184))</f>
        <v/>
      </c>
      <c r="E175" t="str">
        <f>IF(Projects!E184&lt;&gt;"",Projects!E184,"")</f>
        <v/>
      </c>
      <c r="F175" t="str">
        <f>IF(Projects!F184&lt;&gt;"",Projects!F184,"")</f>
        <v/>
      </c>
      <c r="G175" s="45" t="str">
        <f>IF(Projects!G184&lt;&gt;"",Projects!G184,"")</f>
        <v/>
      </c>
      <c r="H175" s="45" t="str">
        <f>IF(Projects!H184&lt;&gt;"",Projects!H184,"")</f>
        <v/>
      </c>
      <c r="I175" s="45" t="str">
        <f>IF(Projects!I184&lt;&gt;"",Projects!I184,"")</f>
        <v/>
      </c>
      <c r="J175" s="45" t="str">
        <f>IF(Projects!J184&lt;&gt;"",Projects!J184,"")</f>
        <v/>
      </c>
      <c r="K175" s="45" t="str">
        <f>IF(Projects!K184&lt;&gt;"",Projects!K184,"")</f>
        <v/>
      </c>
      <c r="L175" t="str">
        <f>IF(AND(Projects!E184&lt;&gt;"", Projects!F184&lt;&gt;""),
INDEX('Duration Table'!$D$7:$H$17,MATCH(Projects!E184,'Duration Table'!$C$7:$C$17,0),MATCH(Projects!F184,'Duration Table'!$D$6:$H$6)),
   ""
)</f>
        <v/>
      </c>
      <c r="M175" s="45" t="str" cm="1">
        <f t="array" ref="M175">_xlfn.IFS(
    G175&lt;&gt;"",G175,
    H175&lt;&gt;"",EDATE(H175,-0.25*L175),
    N175&lt;&gt;"",EDATE(N175,-0.25*L175),
    TRUE,""
)</f>
        <v/>
      </c>
      <c r="N175" s="45" t="str" cm="1">
        <f t="array" ref="N175">_xlfn.IFS(
    H175&lt;&gt;"", H175,
    COUNT(G175,I175)=2, (G175 + (DATEDIF(G175,I175,"d")*0.5)),
    COUNT(G175,J175)=2, (G175 + (DATEDIF(G175,J175,"d")*0.25)),
    COUNT(G175,K175)=2, (G175 + ((DATEDIF(G175,K175,"d")-90)*0.25)),
    COUNT(I175,J175)=2, (I175 -(DATEDIF(I175,J175,"d")*0.5)),
    COUNT(I175,K175)=2, (I175 -((DATEDIF(I175,K175,"d")-90)*0.5)),
    G175&lt;&gt;"", EDATE(G175, + L175*0.25),
    I175&lt;&gt;"", EDATE(I175, - L175*0.25),
    J175&lt;&gt;"", EDATE(J175, - L175*0.75),
    K175&lt;&gt;"", EDATE(K175, -((L175*0.75)+3)),
    TRUE, ""
)</f>
        <v/>
      </c>
      <c r="O175" s="45" t="str" cm="1">
        <f t="array" ref="O175">_xlfn.IFS(
    I175&lt;&gt;"", I175,
    COUNT(H175,J175)=2, (H175 + (DATEDIF(H175,J175,"d")*0.33)),
    COUNT(H175,K175)=2, (H175 + ((DATEDIF(H175,K175,"d")-90)*0.33)),
    COUNT(G175,J175)=2, (G175 +  DATEDIF(G175,J175,"d")*0.5),
    COUNT(G175,K175)=2, (G175 + (DATEDIF(G175,K175,"d")-90)*0.5),
    G175&lt;&gt;"", EDATE(G175, + L175*0.5),
    H175&lt;&gt;"", EDATE(H175, + L175*0.25),
    J175&lt;&gt;"", EDATE(J175, - L175*0.5),
    K175&lt;&gt;"", EDATE(K175, -((L175*0.5)+3)),
    TRUE, ""
)</f>
        <v/>
      </c>
      <c r="P175" s="45" t="str" cm="1">
        <f t="array" ref="P175">_xlfn.IFS(
    J175&lt;&gt;"", J175,
    K175&lt;&gt;"", EDATE(K175, -3),
    G175&lt;&gt;"", EDATE(G175, + L175),
    H175&lt;&gt;"", EDATE(H175, + L175*0.75),
    I175&lt;&gt;"", EDATE(I175, H L175*0.5),
    TRUE, ""
)</f>
        <v/>
      </c>
      <c r="Q175" s="45" t="str" cm="1">
        <f t="array" ref="Q175">_xlfn.IFS(
    K175&lt;&gt;"",K175,
    J175&lt;&gt;"",EDATE(J175,3),
    P175&lt;&gt;"",EDATE(P175,3),
    TRUE,""
)</f>
        <v/>
      </c>
    </row>
    <row r="176" spans="1:17" x14ac:dyDescent="0.3">
      <c r="A176" t="str">
        <f>IF(AND(Projects!A185="", Projects!B185=""), "", IF(Projects!A185="", "Unassigned", Projects!A185))</f>
        <v/>
      </c>
      <c r="B176" t="str">
        <f>IF(Projects!B185&lt;&gt;"",Projects!B185,"")</f>
        <v/>
      </c>
      <c r="C176" t="str">
        <f>IF(AND(Projects!C185="", Projects!B185=""), "", IF(Projects!C185="", "None", Projects!C185))</f>
        <v/>
      </c>
      <c r="D176" t="str">
        <f>IF(AND(Projects!D185="", Projects!B185=""), "", IF(Projects!D185="", "No OpCo", Projects!D185))</f>
        <v/>
      </c>
      <c r="E176" t="str">
        <f>IF(Projects!E185&lt;&gt;"",Projects!E185,"")</f>
        <v/>
      </c>
      <c r="F176" t="str">
        <f>IF(Projects!F185&lt;&gt;"",Projects!F185,"")</f>
        <v/>
      </c>
      <c r="G176" s="45" t="str">
        <f>IF(Projects!G185&lt;&gt;"",Projects!G185,"")</f>
        <v/>
      </c>
      <c r="H176" s="45" t="str">
        <f>IF(Projects!H185&lt;&gt;"",Projects!H185,"")</f>
        <v/>
      </c>
      <c r="I176" s="45" t="str">
        <f>IF(Projects!I185&lt;&gt;"",Projects!I185,"")</f>
        <v/>
      </c>
      <c r="J176" s="45" t="str">
        <f>IF(Projects!J185&lt;&gt;"",Projects!J185,"")</f>
        <v/>
      </c>
      <c r="K176" s="45" t="str">
        <f>IF(Projects!K185&lt;&gt;"",Projects!K185,"")</f>
        <v/>
      </c>
      <c r="L176" t="str">
        <f>IF(AND(Projects!E185&lt;&gt;"", Projects!F185&lt;&gt;""),
INDEX('Duration Table'!$D$7:$H$17,MATCH(Projects!E185,'Duration Table'!$C$7:$C$17,0),MATCH(Projects!F185,'Duration Table'!$D$6:$H$6)),
   ""
)</f>
        <v/>
      </c>
      <c r="M176" s="45" t="str" cm="1">
        <f t="array" ref="M176">_xlfn.IFS(
    G176&lt;&gt;"",G176,
    H176&lt;&gt;"",EDATE(H176,-0.25*L176),
    N176&lt;&gt;"",EDATE(N176,-0.25*L176),
    TRUE,""
)</f>
        <v/>
      </c>
      <c r="N176" s="45" t="str" cm="1">
        <f t="array" ref="N176">_xlfn.IFS(
    H176&lt;&gt;"", H176,
    COUNT(G176,I176)=2, (G176 + (DATEDIF(G176,I176,"d")*0.5)),
    COUNT(G176,J176)=2, (G176 + (DATEDIF(G176,J176,"d")*0.25)),
    COUNT(G176,K176)=2, (G176 + ((DATEDIF(G176,K176,"d")-90)*0.25)),
    COUNT(I176,J176)=2, (I176 -(DATEDIF(I176,J176,"d")*0.5)),
    COUNT(I176,K176)=2, (I176 -((DATEDIF(I176,K176,"d")-90)*0.5)),
    G176&lt;&gt;"", EDATE(G176, + L176*0.25),
    I176&lt;&gt;"", EDATE(I176, - L176*0.25),
    J176&lt;&gt;"", EDATE(J176, - L176*0.75),
    K176&lt;&gt;"", EDATE(K176, -((L176*0.75)+3)),
    TRUE, ""
)</f>
        <v/>
      </c>
      <c r="O176" s="45" t="str" cm="1">
        <f t="array" ref="O176">_xlfn.IFS(
    I176&lt;&gt;"", I176,
    COUNT(H176,J176)=2, (H176 + (DATEDIF(H176,J176,"d")*0.33)),
    COUNT(H176,K176)=2, (H176 + ((DATEDIF(H176,K176,"d")-90)*0.33)),
    COUNT(G176,J176)=2, (G176 +  DATEDIF(G176,J176,"d")*0.5),
    COUNT(G176,K176)=2, (G176 + (DATEDIF(G176,K176,"d")-90)*0.5),
    G176&lt;&gt;"", EDATE(G176, + L176*0.5),
    H176&lt;&gt;"", EDATE(H176, + L176*0.25),
    J176&lt;&gt;"", EDATE(J176, - L176*0.5),
    K176&lt;&gt;"", EDATE(K176, -((L176*0.5)+3)),
    TRUE, ""
)</f>
        <v/>
      </c>
      <c r="P176" s="45" t="str" cm="1">
        <f t="array" ref="P176">_xlfn.IFS(
    J176&lt;&gt;"", J176,
    K176&lt;&gt;"", EDATE(K176, -3),
    G176&lt;&gt;"", EDATE(G176, + L176),
    H176&lt;&gt;"", EDATE(H176, + L176*0.75),
    I176&lt;&gt;"", EDATE(I176, H L176*0.5),
    TRUE, ""
)</f>
        <v/>
      </c>
      <c r="Q176" s="45" t="str" cm="1">
        <f t="array" ref="Q176">_xlfn.IFS(
    K176&lt;&gt;"",K176,
    J176&lt;&gt;"",EDATE(J176,3),
    P176&lt;&gt;"",EDATE(P176,3),
    TRUE,""
)</f>
        <v/>
      </c>
    </row>
    <row r="177" spans="1:17" x14ac:dyDescent="0.3">
      <c r="A177" t="str">
        <f>IF(AND(Projects!A186="", Projects!B186=""), "", IF(Projects!A186="", "Unassigned", Projects!A186))</f>
        <v/>
      </c>
      <c r="B177" t="str">
        <f>IF(Projects!B186&lt;&gt;"",Projects!B186,"")</f>
        <v/>
      </c>
      <c r="C177" t="str">
        <f>IF(AND(Projects!C186="", Projects!B186=""), "", IF(Projects!C186="", "None", Projects!C186))</f>
        <v/>
      </c>
      <c r="D177" t="str">
        <f>IF(AND(Projects!D186="", Projects!B186=""), "", IF(Projects!D186="", "No OpCo", Projects!D186))</f>
        <v/>
      </c>
      <c r="E177" t="str">
        <f>IF(Projects!E186&lt;&gt;"",Projects!E186,"")</f>
        <v/>
      </c>
      <c r="F177" t="str">
        <f>IF(Projects!F186&lt;&gt;"",Projects!F186,"")</f>
        <v/>
      </c>
      <c r="G177" s="45" t="str">
        <f>IF(Projects!G186&lt;&gt;"",Projects!G186,"")</f>
        <v/>
      </c>
      <c r="H177" s="45" t="str">
        <f>IF(Projects!H186&lt;&gt;"",Projects!H186,"")</f>
        <v/>
      </c>
      <c r="I177" s="45" t="str">
        <f>IF(Projects!I186&lt;&gt;"",Projects!I186,"")</f>
        <v/>
      </c>
      <c r="J177" s="45" t="str">
        <f>IF(Projects!J186&lt;&gt;"",Projects!J186,"")</f>
        <v/>
      </c>
      <c r="K177" s="45" t="str">
        <f>IF(Projects!K186&lt;&gt;"",Projects!K186,"")</f>
        <v/>
      </c>
      <c r="L177" t="str">
        <f>IF(AND(Projects!E186&lt;&gt;"", Projects!F186&lt;&gt;""),
INDEX('Duration Table'!$D$7:$H$17,MATCH(Projects!E186,'Duration Table'!$C$7:$C$17,0),MATCH(Projects!F186,'Duration Table'!$D$6:$H$6)),
   ""
)</f>
        <v/>
      </c>
      <c r="M177" s="45" t="str" cm="1">
        <f t="array" ref="M177">_xlfn.IFS(
    G177&lt;&gt;"",G177,
    H177&lt;&gt;"",EDATE(H177,-0.25*L177),
    N177&lt;&gt;"",EDATE(N177,-0.25*L177),
    TRUE,""
)</f>
        <v/>
      </c>
      <c r="N177" s="45" t="str" cm="1">
        <f t="array" ref="N177">_xlfn.IFS(
    H177&lt;&gt;"", H177,
    COUNT(G177,I177)=2, (G177 + (DATEDIF(G177,I177,"d")*0.5)),
    COUNT(G177,J177)=2, (G177 + (DATEDIF(G177,J177,"d")*0.25)),
    COUNT(G177,K177)=2, (G177 + ((DATEDIF(G177,K177,"d")-90)*0.25)),
    COUNT(I177,J177)=2, (I177 -(DATEDIF(I177,J177,"d")*0.5)),
    COUNT(I177,K177)=2, (I177 -((DATEDIF(I177,K177,"d")-90)*0.5)),
    G177&lt;&gt;"", EDATE(G177, + L177*0.25),
    I177&lt;&gt;"", EDATE(I177, - L177*0.25),
    J177&lt;&gt;"", EDATE(J177, - L177*0.75),
    K177&lt;&gt;"", EDATE(K177, -((L177*0.75)+3)),
    TRUE, ""
)</f>
        <v/>
      </c>
      <c r="O177" s="45" t="str" cm="1">
        <f t="array" ref="O177">_xlfn.IFS(
    I177&lt;&gt;"", I177,
    COUNT(H177,J177)=2, (H177 + (DATEDIF(H177,J177,"d")*0.33)),
    COUNT(H177,K177)=2, (H177 + ((DATEDIF(H177,K177,"d")-90)*0.33)),
    COUNT(G177,J177)=2, (G177 +  DATEDIF(G177,J177,"d")*0.5),
    COUNT(G177,K177)=2, (G177 + (DATEDIF(G177,K177,"d")-90)*0.5),
    G177&lt;&gt;"", EDATE(G177, + L177*0.5),
    H177&lt;&gt;"", EDATE(H177, + L177*0.25),
    J177&lt;&gt;"", EDATE(J177, - L177*0.5),
    K177&lt;&gt;"", EDATE(K177, -((L177*0.5)+3)),
    TRUE, ""
)</f>
        <v/>
      </c>
      <c r="P177" s="45" t="str" cm="1">
        <f t="array" ref="P177">_xlfn.IFS(
    J177&lt;&gt;"", J177,
    K177&lt;&gt;"", EDATE(K177, -3),
    G177&lt;&gt;"", EDATE(G177, + L177),
    H177&lt;&gt;"", EDATE(H177, + L177*0.75),
    I177&lt;&gt;"", EDATE(I177, H L177*0.5),
    TRUE, ""
)</f>
        <v/>
      </c>
      <c r="Q177" s="45" t="str" cm="1">
        <f t="array" ref="Q177">_xlfn.IFS(
    K177&lt;&gt;"",K177,
    J177&lt;&gt;"",EDATE(J177,3),
    P177&lt;&gt;"",EDATE(P177,3),
    TRUE,""
)</f>
        <v/>
      </c>
    </row>
    <row r="178" spans="1:17" x14ac:dyDescent="0.3">
      <c r="A178" t="str">
        <f>IF(AND(Projects!A187="", Projects!B187=""), "", IF(Projects!A187="", "Unassigned", Projects!A187))</f>
        <v/>
      </c>
      <c r="B178" t="str">
        <f>IF(Projects!B187&lt;&gt;"",Projects!B187,"")</f>
        <v/>
      </c>
      <c r="C178" t="str">
        <f>IF(AND(Projects!C187="", Projects!B187=""), "", IF(Projects!C187="", "None", Projects!C187))</f>
        <v/>
      </c>
      <c r="D178" t="str">
        <f>IF(AND(Projects!D187="", Projects!B187=""), "", IF(Projects!D187="", "No OpCo", Projects!D187))</f>
        <v/>
      </c>
      <c r="E178" t="str">
        <f>IF(Projects!E187&lt;&gt;"",Projects!E187,"")</f>
        <v/>
      </c>
      <c r="F178" t="str">
        <f>IF(Projects!F187&lt;&gt;"",Projects!F187,"")</f>
        <v/>
      </c>
      <c r="G178" s="45" t="str">
        <f>IF(Projects!G187&lt;&gt;"",Projects!G187,"")</f>
        <v/>
      </c>
      <c r="H178" s="45" t="str">
        <f>IF(Projects!H187&lt;&gt;"",Projects!H187,"")</f>
        <v/>
      </c>
      <c r="I178" s="45" t="str">
        <f>IF(Projects!I187&lt;&gt;"",Projects!I187,"")</f>
        <v/>
      </c>
      <c r="J178" s="45" t="str">
        <f>IF(Projects!J187&lt;&gt;"",Projects!J187,"")</f>
        <v/>
      </c>
      <c r="K178" s="45" t="str">
        <f>IF(Projects!K187&lt;&gt;"",Projects!K187,"")</f>
        <v/>
      </c>
      <c r="L178" t="str">
        <f>IF(AND(Projects!E187&lt;&gt;"", Projects!F187&lt;&gt;""),
INDEX('Duration Table'!$D$7:$H$17,MATCH(Projects!E187,'Duration Table'!$C$7:$C$17,0),MATCH(Projects!F187,'Duration Table'!$D$6:$H$6)),
   ""
)</f>
        <v/>
      </c>
      <c r="M178" s="45" t="str" cm="1">
        <f t="array" ref="M178">_xlfn.IFS(
    G178&lt;&gt;"",G178,
    H178&lt;&gt;"",EDATE(H178,-0.25*L178),
    N178&lt;&gt;"",EDATE(N178,-0.25*L178),
    TRUE,""
)</f>
        <v/>
      </c>
      <c r="N178" s="45" t="str" cm="1">
        <f t="array" ref="N178">_xlfn.IFS(
    H178&lt;&gt;"", H178,
    COUNT(G178,I178)=2, (G178 + (DATEDIF(G178,I178,"d")*0.5)),
    COUNT(G178,J178)=2, (G178 + (DATEDIF(G178,J178,"d")*0.25)),
    COUNT(G178,K178)=2, (G178 + ((DATEDIF(G178,K178,"d")-90)*0.25)),
    COUNT(I178,J178)=2, (I178 -(DATEDIF(I178,J178,"d")*0.5)),
    COUNT(I178,K178)=2, (I178 -((DATEDIF(I178,K178,"d")-90)*0.5)),
    G178&lt;&gt;"", EDATE(G178, + L178*0.25),
    I178&lt;&gt;"", EDATE(I178, - L178*0.25),
    J178&lt;&gt;"", EDATE(J178, - L178*0.75),
    K178&lt;&gt;"", EDATE(K178, -((L178*0.75)+3)),
    TRUE, ""
)</f>
        <v/>
      </c>
      <c r="O178" s="45" t="str" cm="1">
        <f t="array" ref="O178">_xlfn.IFS(
    I178&lt;&gt;"", I178,
    COUNT(H178,J178)=2, (H178 + (DATEDIF(H178,J178,"d")*0.33)),
    COUNT(H178,K178)=2, (H178 + ((DATEDIF(H178,K178,"d")-90)*0.33)),
    COUNT(G178,J178)=2, (G178 +  DATEDIF(G178,J178,"d")*0.5),
    COUNT(G178,K178)=2, (G178 + (DATEDIF(G178,K178,"d")-90)*0.5),
    G178&lt;&gt;"", EDATE(G178, + L178*0.5),
    H178&lt;&gt;"", EDATE(H178, + L178*0.25),
    J178&lt;&gt;"", EDATE(J178, - L178*0.5),
    K178&lt;&gt;"", EDATE(K178, -((L178*0.5)+3)),
    TRUE, ""
)</f>
        <v/>
      </c>
      <c r="P178" s="45" t="str" cm="1">
        <f t="array" ref="P178">_xlfn.IFS(
    J178&lt;&gt;"", J178,
    K178&lt;&gt;"", EDATE(K178, -3),
    G178&lt;&gt;"", EDATE(G178, + L178),
    H178&lt;&gt;"", EDATE(H178, + L178*0.75),
    I178&lt;&gt;"", EDATE(I178, H L178*0.5),
    TRUE, ""
)</f>
        <v/>
      </c>
      <c r="Q178" s="45" t="str" cm="1">
        <f t="array" ref="Q178">_xlfn.IFS(
    K178&lt;&gt;"",K178,
    J178&lt;&gt;"",EDATE(J178,3),
    P178&lt;&gt;"",EDATE(P178,3),
    TRUE,""
)</f>
        <v/>
      </c>
    </row>
    <row r="179" spans="1:17" x14ac:dyDescent="0.3">
      <c r="A179" t="str">
        <f>IF(AND(Projects!A188="", Projects!B188=""), "", IF(Projects!A188="", "Unassigned", Projects!A188))</f>
        <v/>
      </c>
      <c r="B179" t="str">
        <f>IF(Projects!B188&lt;&gt;"",Projects!B188,"")</f>
        <v/>
      </c>
      <c r="C179" t="str">
        <f>IF(AND(Projects!C188="", Projects!B188=""), "", IF(Projects!C188="", "None", Projects!C188))</f>
        <v/>
      </c>
      <c r="D179" t="str">
        <f>IF(AND(Projects!D188="", Projects!B188=""), "", IF(Projects!D188="", "No OpCo", Projects!D188))</f>
        <v/>
      </c>
      <c r="E179" t="str">
        <f>IF(Projects!E188&lt;&gt;"",Projects!E188,"")</f>
        <v/>
      </c>
      <c r="F179" t="str">
        <f>IF(Projects!F188&lt;&gt;"",Projects!F188,"")</f>
        <v/>
      </c>
      <c r="G179" s="45" t="str">
        <f>IF(Projects!G188&lt;&gt;"",Projects!G188,"")</f>
        <v/>
      </c>
      <c r="H179" s="45" t="str">
        <f>IF(Projects!H188&lt;&gt;"",Projects!H188,"")</f>
        <v/>
      </c>
      <c r="I179" s="45" t="str">
        <f>IF(Projects!I188&lt;&gt;"",Projects!I188,"")</f>
        <v/>
      </c>
      <c r="J179" s="45" t="str">
        <f>IF(Projects!J188&lt;&gt;"",Projects!J188,"")</f>
        <v/>
      </c>
      <c r="K179" s="45" t="str">
        <f>IF(Projects!K188&lt;&gt;"",Projects!K188,"")</f>
        <v/>
      </c>
      <c r="L179" t="str">
        <f>IF(AND(Projects!E188&lt;&gt;"", Projects!F188&lt;&gt;""),
INDEX('Duration Table'!$D$7:$H$17,MATCH(Projects!E188,'Duration Table'!$C$7:$C$17,0),MATCH(Projects!F188,'Duration Table'!$D$6:$H$6)),
   ""
)</f>
        <v/>
      </c>
      <c r="M179" s="45" t="str" cm="1">
        <f t="array" ref="M179">_xlfn.IFS(
    G179&lt;&gt;"",G179,
    H179&lt;&gt;"",EDATE(H179,-0.25*L179),
    N179&lt;&gt;"",EDATE(N179,-0.25*L179),
    TRUE,""
)</f>
        <v/>
      </c>
      <c r="N179" s="45" t="str" cm="1">
        <f t="array" ref="N179">_xlfn.IFS(
    H179&lt;&gt;"", H179,
    COUNT(G179,I179)=2, (G179 + (DATEDIF(G179,I179,"d")*0.5)),
    COUNT(G179,J179)=2, (G179 + (DATEDIF(G179,J179,"d")*0.25)),
    COUNT(G179,K179)=2, (G179 + ((DATEDIF(G179,K179,"d")-90)*0.25)),
    COUNT(I179,J179)=2, (I179 -(DATEDIF(I179,J179,"d")*0.5)),
    COUNT(I179,K179)=2, (I179 -((DATEDIF(I179,K179,"d")-90)*0.5)),
    G179&lt;&gt;"", EDATE(G179, + L179*0.25),
    I179&lt;&gt;"", EDATE(I179, - L179*0.25),
    J179&lt;&gt;"", EDATE(J179, - L179*0.75),
    K179&lt;&gt;"", EDATE(K179, -((L179*0.75)+3)),
    TRUE, ""
)</f>
        <v/>
      </c>
      <c r="O179" s="45" t="str" cm="1">
        <f t="array" ref="O179">_xlfn.IFS(
    I179&lt;&gt;"", I179,
    COUNT(H179,J179)=2, (H179 + (DATEDIF(H179,J179,"d")*0.33)),
    COUNT(H179,K179)=2, (H179 + ((DATEDIF(H179,K179,"d")-90)*0.33)),
    COUNT(G179,J179)=2, (G179 +  DATEDIF(G179,J179,"d")*0.5),
    COUNT(G179,K179)=2, (G179 + (DATEDIF(G179,K179,"d")-90)*0.5),
    G179&lt;&gt;"", EDATE(G179, + L179*0.5),
    H179&lt;&gt;"", EDATE(H179, + L179*0.25),
    J179&lt;&gt;"", EDATE(J179, - L179*0.5),
    K179&lt;&gt;"", EDATE(K179, -((L179*0.5)+3)),
    TRUE, ""
)</f>
        <v/>
      </c>
      <c r="P179" s="45" t="str" cm="1">
        <f t="array" ref="P179">_xlfn.IFS(
    J179&lt;&gt;"", J179,
    K179&lt;&gt;"", EDATE(K179, -3),
    G179&lt;&gt;"", EDATE(G179, + L179),
    H179&lt;&gt;"", EDATE(H179, + L179*0.75),
    I179&lt;&gt;"", EDATE(I179, H L179*0.5),
    TRUE, ""
)</f>
        <v/>
      </c>
      <c r="Q179" s="45" t="str" cm="1">
        <f t="array" ref="Q179">_xlfn.IFS(
    K179&lt;&gt;"",K179,
    J179&lt;&gt;"",EDATE(J179,3),
    P179&lt;&gt;"",EDATE(P179,3),
    TRUE,""
)</f>
        <v/>
      </c>
    </row>
    <row r="180" spans="1:17" x14ac:dyDescent="0.3">
      <c r="A180" t="str">
        <f>IF(AND(Projects!A189="", Projects!B189=""), "", IF(Projects!A189="", "Unassigned", Projects!A189))</f>
        <v/>
      </c>
      <c r="B180" t="str">
        <f>IF(Projects!B189&lt;&gt;"",Projects!B189,"")</f>
        <v/>
      </c>
      <c r="C180" t="str">
        <f>IF(AND(Projects!C189="", Projects!B189=""), "", IF(Projects!C189="", "None", Projects!C189))</f>
        <v/>
      </c>
      <c r="D180" t="str">
        <f>IF(AND(Projects!D189="", Projects!B189=""), "", IF(Projects!D189="", "No OpCo", Projects!D189))</f>
        <v/>
      </c>
      <c r="E180" t="str">
        <f>IF(Projects!E189&lt;&gt;"",Projects!E189,"")</f>
        <v/>
      </c>
      <c r="F180" t="str">
        <f>IF(Projects!F189&lt;&gt;"",Projects!F189,"")</f>
        <v/>
      </c>
      <c r="G180" s="45" t="str">
        <f>IF(Projects!G189&lt;&gt;"",Projects!G189,"")</f>
        <v/>
      </c>
      <c r="H180" s="45" t="str">
        <f>IF(Projects!H189&lt;&gt;"",Projects!H189,"")</f>
        <v/>
      </c>
      <c r="I180" s="45" t="str">
        <f>IF(Projects!I189&lt;&gt;"",Projects!I189,"")</f>
        <v/>
      </c>
      <c r="J180" s="45" t="str">
        <f>IF(Projects!J189&lt;&gt;"",Projects!J189,"")</f>
        <v/>
      </c>
      <c r="K180" s="45" t="str">
        <f>IF(Projects!K189&lt;&gt;"",Projects!K189,"")</f>
        <v/>
      </c>
      <c r="L180" t="str">
        <f>IF(AND(Projects!E189&lt;&gt;"", Projects!F189&lt;&gt;""),
INDEX('Duration Table'!$D$7:$H$17,MATCH(Projects!E189,'Duration Table'!$C$7:$C$17,0),MATCH(Projects!F189,'Duration Table'!$D$6:$H$6)),
   ""
)</f>
        <v/>
      </c>
      <c r="M180" s="45" t="str" cm="1">
        <f t="array" ref="M180">_xlfn.IFS(
    G180&lt;&gt;"",G180,
    H180&lt;&gt;"",EDATE(H180,-0.25*L180),
    N180&lt;&gt;"",EDATE(N180,-0.25*L180),
    TRUE,""
)</f>
        <v/>
      </c>
      <c r="N180" s="45" t="str" cm="1">
        <f t="array" ref="N180">_xlfn.IFS(
    H180&lt;&gt;"", H180,
    COUNT(G180,I180)=2, (G180 + (DATEDIF(G180,I180,"d")*0.5)),
    COUNT(G180,J180)=2, (G180 + (DATEDIF(G180,J180,"d")*0.25)),
    COUNT(G180,K180)=2, (G180 + ((DATEDIF(G180,K180,"d")-90)*0.25)),
    COUNT(I180,J180)=2, (I180 -(DATEDIF(I180,J180,"d")*0.5)),
    COUNT(I180,K180)=2, (I180 -((DATEDIF(I180,K180,"d")-90)*0.5)),
    G180&lt;&gt;"", EDATE(G180, + L180*0.25),
    I180&lt;&gt;"", EDATE(I180, - L180*0.25),
    J180&lt;&gt;"", EDATE(J180, - L180*0.75),
    K180&lt;&gt;"", EDATE(K180, -((L180*0.75)+3)),
    TRUE, ""
)</f>
        <v/>
      </c>
      <c r="O180" s="45" t="str" cm="1">
        <f t="array" ref="O180">_xlfn.IFS(
    I180&lt;&gt;"", I180,
    COUNT(H180,J180)=2, (H180 + (DATEDIF(H180,J180,"d")*0.33)),
    COUNT(H180,K180)=2, (H180 + ((DATEDIF(H180,K180,"d")-90)*0.33)),
    COUNT(G180,J180)=2, (G180 +  DATEDIF(G180,J180,"d")*0.5),
    COUNT(G180,K180)=2, (G180 + (DATEDIF(G180,K180,"d")-90)*0.5),
    G180&lt;&gt;"", EDATE(G180, + L180*0.5),
    H180&lt;&gt;"", EDATE(H180, + L180*0.25),
    J180&lt;&gt;"", EDATE(J180, - L180*0.5),
    K180&lt;&gt;"", EDATE(K180, -((L180*0.5)+3)),
    TRUE, ""
)</f>
        <v/>
      </c>
      <c r="P180" s="45" t="str" cm="1">
        <f t="array" ref="P180">_xlfn.IFS(
    J180&lt;&gt;"", J180,
    K180&lt;&gt;"", EDATE(K180, -3),
    G180&lt;&gt;"", EDATE(G180, + L180),
    H180&lt;&gt;"", EDATE(H180, + L180*0.75),
    I180&lt;&gt;"", EDATE(I180, H L180*0.5),
    TRUE, ""
)</f>
        <v/>
      </c>
      <c r="Q180" s="45" t="str" cm="1">
        <f t="array" ref="Q180">_xlfn.IFS(
    K180&lt;&gt;"",K180,
    J180&lt;&gt;"",EDATE(J180,3),
    P180&lt;&gt;"",EDATE(P180,3),
    TRUE,""
)</f>
        <v/>
      </c>
    </row>
    <row r="181" spans="1:17" x14ac:dyDescent="0.3">
      <c r="A181" t="str">
        <f>IF(AND(Projects!A190="", Projects!B190=""), "", IF(Projects!A190="", "Unassigned", Projects!A190))</f>
        <v/>
      </c>
      <c r="B181" t="str">
        <f>IF(Projects!B190&lt;&gt;"",Projects!B190,"")</f>
        <v/>
      </c>
      <c r="C181" t="str">
        <f>IF(AND(Projects!C190="", Projects!B190=""), "", IF(Projects!C190="", "None", Projects!C190))</f>
        <v/>
      </c>
      <c r="D181" t="str">
        <f>IF(AND(Projects!D190="", Projects!B190=""), "", IF(Projects!D190="", "No OpCo", Projects!D190))</f>
        <v/>
      </c>
      <c r="E181" t="str">
        <f>IF(Projects!E190&lt;&gt;"",Projects!E190,"")</f>
        <v/>
      </c>
      <c r="F181" t="str">
        <f>IF(Projects!F190&lt;&gt;"",Projects!F190,"")</f>
        <v/>
      </c>
      <c r="G181" s="45" t="str">
        <f>IF(Projects!G190&lt;&gt;"",Projects!G190,"")</f>
        <v/>
      </c>
      <c r="H181" s="45" t="str">
        <f>IF(Projects!H190&lt;&gt;"",Projects!H190,"")</f>
        <v/>
      </c>
      <c r="I181" s="45" t="str">
        <f>IF(Projects!I190&lt;&gt;"",Projects!I190,"")</f>
        <v/>
      </c>
      <c r="J181" s="45" t="str">
        <f>IF(Projects!J190&lt;&gt;"",Projects!J190,"")</f>
        <v/>
      </c>
      <c r="K181" s="45" t="str">
        <f>IF(Projects!K190&lt;&gt;"",Projects!K190,"")</f>
        <v/>
      </c>
      <c r="L181" t="str">
        <f>IF(AND(Projects!E190&lt;&gt;"", Projects!F190&lt;&gt;""),
INDEX('Duration Table'!$D$7:$H$17,MATCH(Projects!E190,'Duration Table'!$C$7:$C$17,0),MATCH(Projects!F190,'Duration Table'!$D$6:$H$6)),
   ""
)</f>
        <v/>
      </c>
      <c r="M181" s="45" t="str" cm="1">
        <f t="array" ref="M181">_xlfn.IFS(
    G181&lt;&gt;"",G181,
    H181&lt;&gt;"",EDATE(H181,-0.25*L181),
    N181&lt;&gt;"",EDATE(N181,-0.25*L181),
    TRUE,""
)</f>
        <v/>
      </c>
      <c r="N181" s="45" t="str" cm="1">
        <f t="array" ref="N181">_xlfn.IFS(
    H181&lt;&gt;"", H181,
    COUNT(G181,I181)=2, (G181 + (DATEDIF(G181,I181,"d")*0.5)),
    COUNT(G181,J181)=2, (G181 + (DATEDIF(G181,J181,"d")*0.25)),
    COUNT(G181,K181)=2, (G181 + ((DATEDIF(G181,K181,"d")-90)*0.25)),
    COUNT(I181,J181)=2, (I181 -(DATEDIF(I181,J181,"d")*0.5)),
    COUNT(I181,K181)=2, (I181 -((DATEDIF(I181,K181,"d")-90)*0.5)),
    G181&lt;&gt;"", EDATE(G181, + L181*0.25),
    I181&lt;&gt;"", EDATE(I181, - L181*0.25),
    J181&lt;&gt;"", EDATE(J181, - L181*0.75),
    K181&lt;&gt;"", EDATE(K181, -((L181*0.75)+3)),
    TRUE, ""
)</f>
        <v/>
      </c>
      <c r="O181" s="45" t="str" cm="1">
        <f t="array" ref="O181">_xlfn.IFS(
    I181&lt;&gt;"", I181,
    COUNT(H181,J181)=2, (H181 + (DATEDIF(H181,J181,"d")*0.33)),
    COUNT(H181,K181)=2, (H181 + ((DATEDIF(H181,K181,"d")-90)*0.33)),
    COUNT(G181,J181)=2, (G181 +  DATEDIF(G181,J181,"d")*0.5),
    COUNT(G181,K181)=2, (G181 + (DATEDIF(G181,K181,"d")-90)*0.5),
    G181&lt;&gt;"", EDATE(G181, + L181*0.5),
    H181&lt;&gt;"", EDATE(H181, + L181*0.25),
    J181&lt;&gt;"", EDATE(J181, - L181*0.5),
    K181&lt;&gt;"", EDATE(K181, -((L181*0.5)+3)),
    TRUE, ""
)</f>
        <v/>
      </c>
      <c r="P181" s="45" t="str" cm="1">
        <f t="array" ref="P181">_xlfn.IFS(
    J181&lt;&gt;"", J181,
    K181&lt;&gt;"", EDATE(K181, -3),
    G181&lt;&gt;"", EDATE(G181, + L181),
    H181&lt;&gt;"", EDATE(H181, + L181*0.75),
    I181&lt;&gt;"", EDATE(I181, H L181*0.5),
    TRUE, ""
)</f>
        <v/>
      </c>
      <c r="Q181" s="45" t="str" cm="1">
        <f t="array" ref="Q181">_xlfn.IFS(
    K181&lt;&gt;"",K181,
    J181&lt;&gt;"",EDATE(J181,3),
    P181&lt;&gt;"",EDATE(P181,3),
    TRUE,""
)</f>
        <v/>
      </c>
    </row>
    <row r="182" spans="1:17" x14ac:dyDescent="0.3">
      <c r="A182" t="str">
        <f>IF(AND(Projects!A191="", Projects!B191=""), "", IF(Projects!A191="", "Unassigned", Projects!A191))</f>
        <v/>
      </c>
      <c r="B182" t="str">
        <f>IF(Projects!B191&lt;&gt;"",Projects!B191,"")</f>
        <v/>
      </c>
      <c r="C182" t="str">
        <f>IF(AND(Projects!C191="", Projects!B191=""), "", IF(Projects!C191="", "None", Projects!C191))</f>
        <v/>
      </c>
      <c r="D182" t="str">
        <f>IF(AND(Projects!D191="", Projects!B191=""), "", IF(Projects!D191="", "No OpCo", Projects!D191))</f>
        <v/>
      </c>
      <c r="E182" t="str">
        <f>IF(Projects!E191&lt;&gt;"",Projects!E191,"")</f>
        <v/>
      </c>
      <c r="F182" t="str">
        <f>IF(Projects!F191&lt;&gt;"",Projects!F191,"")</f>
        <v/>
      </c>
      <c r="G182" s="45" t="str">
        <f>IF(Projects!G191&lt;&gt;"",Projects!G191,"")</f>
        <v/>
      </c>
      <c r="H182" s="45" t="str">
        <f>IF(Projects!H191&lt;&gt;"",Projects!H191,"")</f>
        <v/>
      </c>
      <c r="I182" s="45" t="str">
        <f>IF(Projects!I191&lt;&gt;"",Projects!I191,"")</f>
        <v/>
      </c>
      <c r="J182" s="45" t="str">
        <f>IF(Projects!J191&lt;&gt;"",Projects!J191,"")</f>
        <v/>
      </c>
      <c r="K182" s="45" t="str">
        <f>IF(Projects!K191&lt;&gt;"",Projects!K191,"")</f>
        <v/>
      </c>
      <c r="L182" t="str">
        <f>IF(AND(Projects!E191&lt;&gt;"", Projects!F191&lt;&gt;""),
INDEX('Duration Table'!$D$7:$H$17,MATCH(Projects!E191,'Duration Table'!$C$7:$C$17,0),MATCH(Projects!F191,'Duration Table'!$D$6:$H$6)),
   ""
)</f>
        <v/>
      </c>
      <c r="M182" s="45" t="str" cm="1">
        <f t="array" ref="M182">_xlfn.IFS(
    G182&lt;&gt;"",G182,
    H182&lt;&gt;"",EDATE(H182,-0.25*L182),
    N182&lt;&gt;"",EDATE(N182,-0.25*L182),
    TRUE,""
)</f>
        <v/>
      </c>
      <c r="N182" s="45" t="str" cm="1">
        <f t="array" ref="N182">_xlfn.IFS(
    H182&lt;&gt;"", H182,
    COUNT(G182,I182)=2, (G182 + (DATEDIF(G182,I182,"d")*0.5)),
    COUNT(G182,J182)=2, (G182 + (DATEDIF(G182,J182,"d")*0.25)),
    COUNT(G182,K182)=2, (G182 + ((DATEDIF(G182,K182,"d")-90)*0.25)),
    COUNT(I182,J182)=2, (I182 -(DATEDIF(I182,J182,"d")*0.5)),
    COUNT(I182,K182)=2, (I182 -((DATEDIF(I182,K182,"d")-90)*0.5)),
    G182&lt;&gt;"", EDATE(G182, + L182*0.25),
    I182&lt;&gt;"", EDATE(I182, - L182*0.25),
    J182&lt;&gt;"", EDATE(J182, - L182*0.75),
    K182&lt;&gt;"", EDATE(K182, -((L182*0.75)+3)),
    TRUE, ""
)</f>
        <v/>
      </c>
      <c r="O182" s="45" t="str" cm="1">
        <f t="array" ref="O182">_xlfn.IFS(
    I182&lt;&gt;"", I182,
    COUNT(H182,J182)=2, (H182 + (DATEDIF(H182,J182,"d")*0.33)),
    COUNT(H182,K182)=2, (H182 + ((DATEDIF(H182,K182,"d")-90)*0.33)),
    COUNT(G182,J182)=2, (G182 +  DATEDIF(G182,J182,"d")*0.5),
    COUNT(G182,K182)=2, (G182 + (DATEDIF(G182,K182,"d")-90)*0.5),
    G182&lt;&gt;"", EDATE(G182, + L182*0.5),
    H182&lt;&gt;"", EDATE(H182, + L182*0.25),
    J182&lt;&gt;"", EDATE(J182, - L182*0.5),
    K182&lt;&gt;"", EDATE(K182, -((L182*0.5)+3)),
    TRUE, ""
)</f>
        <v/>
      </c>
      <c r="P182" s="45" t="str" cm="1">
        <f t="array" ref="P182">_xlfn.IFS(
    J182&lt;&gt;"", J182,
    K182&lt;&gt;"", EDATE(K182, -3),
    G182&lt;&gt;"", EDATE(G182, + L182),
    H182&lt;&gt;"", EDATE(H182, + L182*0.75),
    I182&lt;&gt;"", EDATE(I182, H L182*0.5),
    TRUE, ""
)</f>
        <v/>
      </c>
      <c r="Q182" s="45" t="str" cm="1">
        <f t="array" ref="Q182">_xlfn.IFS(
    K182&lt;&gt;"",K182,
    J182&lt;&gt;"",EDATE(J182,3),
    P182&lt;&gt;"",EDATE(P182,3),
    TRUE,""
)</f>
        <v/>
      </c>
    </row>
    <row r="183" spans="1:17" x14ac:dyDescent="0.3">
      <c r="A183" t="str">
        <f>IF(AND(Projects!A192="", Projects!B192=""), "", IF(Projects!A192="", "Unassigned", Projects!A192))</f>
        <v/>
      </c>
      <c r="B183" t="str">
        <f>IF(Projects!B192&lt;&gt;"",Projects!B192,"")</f>
        <v/>
      </c>
      <c r="C183" t="str">
        <f>IF(AND(Projects!C192="", Projects!B192=""), "", IF(Projects!C192="", "None", Projects!C192))</f>
        <v/>
      </c>
      <c r="D183" t="str">
        <f>IF(AND(Projects!D192="", Projects!B192=""), "", IF(Projects!D192="", "No OpCo", Projects!D192))</f>
        <v/>
      </c>
      <c r="E183" t="str">
        <f>IF(Projects!E192&lt;&gt;"",Projects!E192,"")</f>
        <v/>
      </c>
      <c r="F183" t="str">
        <f>IF(Projects!F192&lt;&gt;"",Projects!F192,"")</f>
        <v/>
      </c>
      <c r="G183" s="45" t="str">
        <f>IF(Projects!G192&lt;&gt;"",Projects!G192,"")</f>
        <v/>
      </c>
      <c r="H183" s="45" t="str">
        <f>IF(Projects!H192&lt;&gt;"",Projects!H192,"")</f>
        <v/>
      </c>
      <c r="I183" s="45" t="str">
        <f>IF(Projects!I192&lt;&gt;"",Projects!I192,"")</f>
        <v/>
      </c>
      <c r="J183" s="45" t="str">
        <f>IF(Projects!J192&lt;&gt;"",Projects!J192,"")</f>
        <v/>
      </c>
      <c r="K183" s="45" t="str">
        <f>IF(Projects!K192&lt;&gt;"",Projects!K192,"")</f>
        <v/>
      </c>
      <c r="L183" t="str">
        <f>IF(AND(Projects!E192&lt;&gt;"", Projects!F192&lt;&gt;""),
INDEX('Duration Table'!$D$7:$H$17,MATCH(Projects!E192,'Duration Table'!$C$7:$C$17,0),MATCH(Projects!F192,'Duration Table'!$D$6:$H$6)),
   ""
)</f>
        <v/>
      </c>
      <c r="M183" s="45" t="str" cm="1">
        <f t="array" ref="M183">_xlfn.IFS(
    G183&lt;&gt;"",G183,
    H183&lt;&gt;"",EDATE(H183,-0.25*L183),
    N183&lt;&gt;"",EDATE(N183,-0.25*L183),
    TRUE,""
)</f>
        <v/>
      </c>
      <c r="N183" s="45" t="str" cm="1">
        <f t="array" ref="N183">_xlfn.IFS(
    H183&lt;&gt;"", H183,
    COUNT(G183,I183)=2, (G183 + (DATEDIF(G183,I183,"d")*0.5)),
    COUNT(G183,J183)=2, (G183 + (DATEDIF(G183,J183,"d")*0.25)),
    COUNT(G183,K183)=2, (G183 + ((DATEDIF(G183,K183,"d")-90)*0.25)),
    COUNT(I183,J183)=2, (I183 -(DATEDIF(I183,J183,"d")*0.5)),
    COUNT(I183,K183)=2, (I183 -((DATEDIF(I183,K183,"d")-90)*0.5)),
    G183&lt;&gt;"", EDATE(G183, + L183*0.25),
    I183&lt;&gt;"", EDATE(I183, - L183*0.25),
    J183&lt;&gt;"", EDATE(J183, - L183*0.75),
    K183&lt;&gt;"", EDATE(K183, -((L183*0.75)+3)),
    TRUE, ""
)</f>
        <v/>
      </c>
      <c r="O183" s="45" t="str" cm="1">
        <f t="array" ref="O183">_xlfn.IFS(
    I183&lt;&gt;"", I183,
    COUNT(H183,J183)=2, (H183 + (DATEDIF(H183,J183,"d")*0.33)),
    COUNT(H183,K183)=2, (H183 + ((DATEDIF(H183,K183,"d")-90)*0.33)),
    COUNT(G183,J183)=2, (G183 +  DATEDIF(G183,J183,"d")*0.5),
    COUNT(G183,K183)=2, (G183 + (DATEDIF(G183,K183,"d")-90)*0.5),
    G183&lt;&gt;"", EDATE(G183, + L183*0.5),
    H183&lt;&gt;"", EDATE(H183, + L183*0.25),
    J183&lt;&gt;"", EDATE(J183, - L183*0.5),
    K183&lt;&gt;"", EDATE(K183, -((L183*0.5)+3)),
    TRUE, ""
)</f>
        <v/>
      </c>
      <c r="P183" s="45" t="str" cm="1">
        <f t="array" ref="P183">_xlfn.IFS(
    J183&lt;&gt;"", J183,
    K183&lt;&gt;"", EDATE(K183, -3),
    G183&lt;&gt;"", EDATE(G183, + L183),
    H183&lt;&gt;"", EDATE(H183, + L183*0.75),
    I183&lt;&gt;"", EDATE(I183, H L183*0.5),
    TRUE, ""
)</f>
        <v/>
      </c>
      <c r="Q183" s="45" t="str" cm="1">
        <f t="array" ref="Q183">_xlfn.IFS(
    K183&lt;&gt;"",K183,
    J183&lt;&gt;"",EDATE(J183,3),
    P183&lt;&gt;"",EDATE(P183,3),
    TRUE,""
)</f>
        <v/>
      </c>
    </row>
    <row r="184" spans="1:17" x14ac:dyDescent="0.3">
      <c r="A184" t="str">
        <f>IF(AND(Projects!A193="", Projects!B193=""), "", IF(Projects!A193="", "Unassigned", Projects!A193))</f>
        <v/>
      </c>
      <c r="B184" t="str">
        <f>IF(Projects!B193&lt;&gt;"",Projects!B193,"")</f>
        <v/>
      </c>
      <c r="C184" t="str">
        <f>IF(AND(Projects!C193="", Projects!B193=""), "", IF(Projects!C193="", "None", Projects!C193))</f>
        <v/>
      </c>
      <c r="D184" t="str">
        <f>IF(AND(Projects!D193="", Projects!B193=""), "", IF(Projects!D193="", "No OpCo", Projects!D193))</f>
        <v/>
      </c>
      <c r="E184" t="str">
        <f>IF(Projects!E193&lt;&gt;"",Projects!E193,"")</f>
        <v/>
      </c>
      <c r="F184" t="str">
        <f>IF(Projects!F193&lt;&gt;"",Projects!F193,"")</f>
        <v/>
      </c>
      <c r="G184" s="45" t="str">
        <f>IF(Projects!G193&lt;&gt;"",Projects!G193,"")</f>
        <v/>
      </c>
      <c r="H184" s="45" t="str">
        <f>IF(Projects!H193&lt;&gt;"",Projects!H193,"")</f>
        <v/>
      </c>
      <c r="I184" s="45" t="str">
        <f>IF(Projects!I193&lt;&gt;"",Projects!I193,"")</f>
        <v/>
      </c>
      <c r="J184" s="45" t="str">
        <f>IF(Projects!J193&lt;&gt;"",Projects!J193,"")</f>
        <v/>
      </c>
      <c r="K184" s="45" t="str">
        <f>IF(Projects!K193&lt;&gt;"",Projects!K193,"")</f>
        <v/>
      </c>
      <c r="L184" t="str">
        <f>IF(AND(Projects!E193&lt;&gt;"", Projects!F193&lt;&gt;""),
INDEX('Duration Table'!$D$7:$H$17,MATCH(Projects!E193,'Duration Table'!$C$7:$C$17,0),MATCH(Projects!F193,'Duration Table'!$D$6:$H$6)),
   ""
)</f>
        <v/>
      </c>
      <c r="M184" s="45" t="str" cm="1">
        <f t="array" ref="M184">_xlfn.IFS(
    G184&lt;&gt;"",G184,
    H184&lt;&gt;"",EDATE(H184,-0.25*L184),
    N184&lt;&gt;"",EDATE(N184,-0.25*L184),
    TRUE,""
)</f>
        <v/>
      </c>
      <c r="N184" s="45" t="str" cm="1">
        <f t="array" ref="N184">_xlfn.IFS(
    H184&lt;&gt;"", H184,
    COUNT(G184,I184)=2, (G184 + (DATEDIF(G184,I184,"d")*0.5)),
    COUNT(G184,J184)=2, (G184 + (DATEDIF(G184,J184,"d")*0.25)),
    COUNT(G184,K184)=2, (G184 + ((DATEDIF(G184,K184,"d")-90)*0.25)),
    COUNT(I184,J184)=2, (I184 -(DATEDIF(I184,J184,"d")*0.5)),
    COUNT(I184,K184)=2, (I184 -((DATEDIF(I184,K184,"d")-90)*0.5)),
    G184&lt;&gt;"", EDATE(G184, + L184*0.25),
    I184&lt;&gt;"", EDATE(I184, - L184*0.25),
    J184&lt;&gt;"", EDATE(J184, - L184*0.75),
    K184&lt;&gt;"", EDATE(K184, -((L184*0.75)+3)),
    TRUE, ""
)</f>
        <v/>
      </c>
      <c r="O184" s="45" t="str" cm="1">
        <f t="array" ref="O184">_xlfn.IFS(
    I184&lt;&gt;"", I184,
    COUNT(H184,J184)=2, (H184 + (DATEDIF(H184,J184,"d")*0.33)),
    COUNT(H184,K184)=2, (H184 + ((DATEDIF(H184,K184,"d")-90)*0.33)),
    COUNT(G184,J184)=2, (G184 +  DATEDIF(G184,J184,"d")*0.5),
    COUNT(G184,K184)=2, (G184 + (DATEDIF(G184,K184,"d")-90)*0.5),
    G184&lt;&gt;"", EDATE(G184, + L184*0.5),
    H184&lt;&gt;"", EDATE(H184, + L184*0.25),
    J184&lt;&gt;"", EDATE(J184, - L184*0.5),
    K184&lt;&gt;"", EDATE(K184, -((L184*0.5)+3)),
    TRUE, ""
)</f>
        <v/>
      </c>
      <c r="P184" s="45" t="str" cm="1">
        <f t="array" ref="P184">_xlfn.IFS(
    J184&lt;&gt;"", J184,
    K184&lt;&gt;"", EDATE(K184, -3),
    G184&lt;&gt;"", EDATE(G184, + L184),
    H184&lt;&gt;"", EDATE(H184, + L184*0.75),
    I184&lt;&gt;"", EDATE(I184, H L184*0.5),
    TRUE, ""
)</f>
        <v/>
      </c>
      <c r="Q184" s="45" t="str" cm="1">
        <f t="array" ref="Q184">_xlfn.IFS(
    K184&lt;&gt;"",K184,
    J184&lt;&gt;"",EDATE(J184,3),
    P184&lt;&gt;"",EDATE(P184,3),
    TRUE,""
)</f>
        <v/>
      </c>
    </row>
    <row r="185" spans="1:17" x14ac:dyDescent="0.3">
      <c r="A185" t="str">
        <f>IF(AND(Projects!A194="", Projects!B194=""), "", IF(Projects!A194="", "Unassigned", Projects!A194))</f>
        <v/>
      </c>
      <c r="B185" t="str">
        <f>IF(Projects!B194&lt;&gt;"",Projects!B194,"")</f>
        <v/>
      </c>
      <c r="C185" t="str">
        <f>IF(AND(Projects!C194="", Projects!B194=""), "", IF(Projects!C194="", "None", Projects!C194))</f>
        <v/>
      </c>
      <c r="D185" t="str">
        <f>IF(AND(Projects!D194="", Projects!B194=""), "", IF(Projects!D194="", "No OpCo", Projects!D194))</f>
        <v/>
      </c>
      <c r="E185" t="str">
        <f>IF(Projects!E194&lt;&gt;"",Projects!E194,"")</f>
        <v/>
      </c>
      <c r="F185" t="str">
        <f>IF(Projects!F194&lt;&gt;"",Projects!F194,"")</f>
        <v/>
      </c>
      <c r="G185" s="45" t="str">
        <f>IF(Projects!G194&lt;&gt;"",Projects!G194,"")</f>
        <v/>
      </c>
      <c r="H185" s="45" t="str">
        <f>IF(Projects!H194&lt;&gt;"",Projects!H194,"")</f>
        <v/>
      </c>
      <c r="I185" s="45" t="str">
        <f>IF(Projects!I194&lt;&gt;"",Projects!I194,"")</f>
        <v/>
      </c>
      <c r="J185" s="45" t="str">
        <f>IF(Projects!J194&lt;&gt;"",Projects!J194,"")</f>
        <v/>
      </c>
      <c r="K185" s="45" t="str">
        <f>IF(Projects!K194&lt;&gt;"",Projects!K194,"")</f>
        <v/>
      </c>
      <c r="L185" t="str">
        <f>IF(AND(Projects!E194&lt;&gt;"", Projects!F194&lt;&gt;""),
INDEX('Duration Table'!$D$7:$H$17,MATCH(Projects!E194,'Duration Table'!$C$7:$C$17,0),MATCH(Projects!F194,'Duration Table'!$D$6:$H$6)),
   ""
)</f>
        <v/>
      </c>
      <c r="M185" s="45" t="str" cm="1">
        <f t="array" ref="M185">_xlfn.IFS(
    G185&lt;&gt;"",G185,
    H185&lt;&gt;"",EDATE(H185,-0.25*L185),
    N185&lt;&gt;"",EDATE(N185,-0.25*L185),
    TRUE,""
)</f>
        <v/>
      </c>
      <c r="N185" s="45" t="str" cm="1">
        <f t="array" ref="N185">_xlfn.IFS(
    H185&lt;&gt;"", H185,
    COUNT(G185,I185)=2, (G185 + (DATEDIF(G185,I185,"d")*0.5)),
    COUNT(G185,J185)=2, (G185 + (DATEDIF(G185,J185,"d")*0.25)),
    COUNT(G185,K185)=2, (G185 + ((DATEDIF(G185,K185,"d")-90)*0.25)),
    COUNT(I185,J185)=2, (I185 -(DATEDIF(I185,J185,"d")*0.5)),
    COUNT(I185,K185)=2, (I185 -((DATEDIF(I185,K185,"d")-90)*0.5)),
    G185&lt;&gt;"", EDATE(G185, + L185*0.25),
    I185&lt;&gt;"", EDATE(I185, - L185*0.25),
    J185&lt;&gt;"", EDATE(J185, - L185*0.75),
    K185&lt;&gt;"", EDATE(K185, -((L185*0.75)+3)),
    TRUE, ""
)</f>
        <v/>
      </c>
      <c r="O185" s="45" t="str" cm="1">
        <f t="array" ref="O185">_xlfn.IFS(
    I185&lt;&gt;"", I185,
    COUNT(H185,J185)=2, (H185 + (DATEDIF(H185,J185,"d")*0.33)),
    COUNT(H185,K185)=2, (H185 + ((DATEDIF(H185,K185,"d")-90)*0.33)),
    COUNT(G185,J185)=2, (G185 +  DATEDIF(G185,J185,"d")*0.5),
    COUNT(G185,K185)=2, (G185 + (DATEDIF(G185,K185,"d")-90)*0.5),
    G185&lt;&gt;"", EDATE(G185, + L185*0.5),
    H185&lt;&gt;"", EDATE(H185, + L185*0.25),
    J185&lt;&gt;"", EDATE(J185, - L185*0.5),
    K185&lt;&gt;"", EDATE(K185, -((L185*0.5)+3)),
    TRUE, ""
)</f>
        <v/>
      </c>
      <c r="P185" s="45" t="str" cm="1">
        <f t="array" ref="P185">_xlfn.IFS(
    J185&lt;&gt;"", J185,
    K185&lt;&gt;"", EDATE(K185, -3),
    G185&lt;&gt;"", EDATE(G185, + L185),
    H185&lt;&gt;"", EDATE(H185, + L185*0.75),
    I185&lt;&gt;"", EDATE(I185, H L185*0.5),
    TRUE, ""
)</f>
        <v/>
      </c>
      <c r="Q185" s="45" t="str" cm="1">
        <f t="array" ref="Q185">_xlfn.IFS(
    K185&lt;&gt;"",K185,
    J185&lt;&gt;"",EDATE(J185,3),
    P185&lt;&gt;"",EDATE(P185,3),
    TRUE,""
)</f>
        <v/>
      </c>
    </row>
    <row r="186" spans="1:17" x14ac:dyDescent="0.3">
      <c r="A186" t="str">
        <f>IF(AND(Projects!A195="", Projects!B195=""), "", IF(Projects!A195="", "Unassigned", Projects!A195))</f>
        <v/>
      </c>
      <c r="B186" t="str">
        <f>IF(Projects!B195&lt;&gt;"",Projects!B195,"")</f>
        <v/>
      </c>
      <c r="C186" t="str">
        <f>IF(AND(Projects!C195="", Projects!B195=""), "", IF(Projects!C195="", "None", Projects!C195))</f>
        <v/>
      </c>
      <c r="D186" t="str">
        <f>IF(AND(Projects!D195="", Projects!B195=""), "", IF(Projects!D195="", "No OpCo", Projects!D195))</f>
        <v/>
      </c>
      <c r="E186" t="str">
        <f>IF(Projects!E195&lt;&gt;"",Projects!E195,"")</f>
        <v/>
      </c>
      <c r="F186" t="str">
        <f>IF(Projects!F195&lt;&gt;"",Projects!F195,"")</f>
        <v/>
      </c>
      <c r="G186" s="45" t="str">
        <f>IF(Projects!G195&lt;&gt;"",Projects!G195,"")</f>
        <v/>
      </c>
      <c r="H186" s="45" t="str">
        <f>IF(Projects!H195&lt;&gt;"",Projects!H195,"")</f>
        <v/>
      </c>
      <c r="I186" s="45" t="str">
        <f>IF(Projects!I195&lt;&gt;"",Projects!I195,"")</f>
        <v/>
      </c>
      <c r="J186" s="45" t="str">
        <f>IF(Projects!J195&lt;&gt;"",Projects!J195,"")</f>
        <v/>
      </c>
      <c r="K186" s="45" t="str">
        <f>IF(Projects!K195&lt;&gt;"",Projects!K195,"")</f>
        <v/>
      </c>
      <c r="L186" t="str">
        <f>IF(AND(Projects!E195&lt;&gt;"", Projects!F195&lt;&gt;""),
INDEX('Duration Table'!$D$7:$H$17,MATCH(Projects!E195,'Duration Table'!$C$7:$C$17,0),MATCH(Projects!F195,'Duration Table'!$D$6:$H$6)),
   ""
)</f>
        <v/>
      </c>
      <c r="M186" s="45" t="str" cm="1">
        <f t="array" ref="M186">_xlfn.IFS(
    G186&lt;&gt;"",G186,
    H186&lt;&gt;"",EDATE(H186,-0.25*L186),
    N186&lt;&gt;"",EDATE(N186,-0.25*L186),
    TRUE,""
)</f>
        <v/>
      </c>
      <c r="N186" s="45" t="str" cm="1">
        <f t="array" ref="N186">_xlfn.IFS(
    H186&lt;&gt;"", H186,
    COUNT(G186,I186)=2, (G186 + (DATEDIF(G186,I186,"d")*0.5)),
    COUNT(G186,J186)=2, (G186 + (DATEDIF(G186,J186,"d")*0.25)),
    COUNT(G186,K186)=2, (G186 + ((DATEDIF(G186,K186,"d")-90)*0.25)),
    COUNT(I186,J186)=2, (I186 -(DATEDIF(I186,J186,"d")*0.5)),
    COUNT(I186,K186)=2, (I186 -((DATEDIF(I186,K186,"d")-90)*0.5)),
    G186&lt;&gt;"", EDATE(G186, + L186*0.25),
    I186&lt;&gt;"", EDATE(I186, - L186*0.25),
    J186&lt;&gt;"", EDATE(J186, - L186*0.75),
    K186&lt;&gt;"", EDATE(K186, -((L186*0.75)+3)),
    TRUE, ""
)</f>
        <v/>
      </c>
      <c r="O186" s="45" t="str" cm="1">
        <f t="array" ref="O186">_xlfn.IFS(
    I186&lt;&gt;"", I186,
    COUNT(H186,J186)=2, (H186 + (DATEDIF(H186,J186,"d")*0.33)),
    COUNT(H186,K186)=2, (H186 + ((DATEDIF(H186,K186,"d")-90)*0.33)),
    COUNT(G186,J186)=2, (G186 +  DATEDIF(G186,J186,"d")*0.5),
    COUNT(G186,K186)=2, (G186 + (DATEDIF(G186,K186,"d")-90)*0.5),
    G186&lt;&gt;"", EDATE(G186, + L186*0.5),
    H186&lt;&gt;"", EDATE(H186, + L186*0.25),
    J186&lt;&gt;"", EDATE(J186, - L186*0.5),
    K186&lt;&gt;"", EDATE(K186, -((L186*0.5)+3)),
    TRUE, ""
)</f>
        <v/>
      </c>
      <c r="P186" s="45" t="str" cm="1">
        <f t="array" ref="P186">_xlfn.IFS(
    J186&lt;&gt;"", J186,
    K186&lt;&gt;"", EDATE(K186, -3),
    G186&lt;&gt;"", EDATE(G186, + L186),
    H186&lt;&gt;"", EDATE(H186, + L186*0.75),
    I186&lt;&gt;"", EDATE(I186, H L186*0.5),
    TRUE, ""
)</f>
        <v/>
      </c>
      <c r="Q186" s="45" t="str" cm="1">
        <f t="array" ref="Q186">_xlfn.IFS(
    K186&lt;&gt;"",K186,
    J186&lt;&gt;"",EDATE(J186,3),
    P186&lt;&gt;"",EDATE(P186,3),
    TRUE,""
)</f>
        <v/>
      </c>
    </row>
    <row r="187" spans="1:17" x14ac:dyDescent="0.3">
      <c r="A187" t="str">
        <f>IF(AND(Projects!A196="", Projects!B196=""), "", IF(Projects!A196="", "Unassigned", Projects!A196))</f>
        <v/>
      </c>
      <c r="B187" t="str">
        <f>IF(Projects!B196&lt;&gt;"",Projects!B196,"")</f>
        <v/>
      </c>
      <c r="C187" t="str">
        <f>IF(AND(Projects!C196="", Projects!B196=""), "", IF(Projects!C196="", "None", Projects!C196))</f>
        <v/>
      </c>
      <c r="D187" t="str">
        <f>IF(AND(Projects!D196="", Projects!B196=""), "", IF(Projects!D196="", "No OpCo", Projects!D196))</f>
        <v/>
      </c>
      <c r="E187" t="str">
        <f>IF(Projects!E196&lt;&gt;"",Projects!E196,"")</f>
        <v/>
      </c>
      <c r="F187" t="str">
        <f>IF(Projects!F196&lt;&gt;"",Projects!F196,"")</f>
        <v/>
      </c>
      <c r="G187" s="45" t="str">
        <f>IF(Projects!G196&lt;&gt;"",Projects!G196,"")</f>
        <v/>
      </c>
      <c r="H187" s="45" t="str">
        <f>IF(Projects!H196&lt;&gt;"",Projects!H196,"")</f>
        <v/>
      </c>
      <c r="I187" s="45" t="str">
        <f>IF(Projects!I196&lt;&gt;"",Projects!I196,"")</f>
        <v/>
      </c>
      <c r="J187" s="45" t="str">
        <f>IF(Projects!J196&lt;&gt;"",Projects!J196,"")</f>
        <v/>
      </c>
      <c r="K187" s="45" t="str">
        <f>IF(Projects!K196&lt;&gt;"",Projects!K196,"")</f>
        <v/>
      </c>
      <c r="L187" t="str">
        <f>IF(AND(Projects!E196&lt;&gt;"", Projects!F196&lt;&gt;""),
INDEX('Duration Table'!$D$7:$H$17,MATCH(Projects!E196,'Duration Table'!$C$7:$C$17,0),MATCH(Projects!F196,'Duration Table'!$D$6:$H$6)),
   ""
)</f>
        <v/>
      </c>
      <c r="M187" s="45" t="str" cm="1">
        <f t="array" ref="M187">_xlfn.IFS(
    G187&lt;&gt;"",G187,
    H187&lt;&gt;"",EDATE(H187,-0.25*L187),
    N187&lt;&gt;"",EDATE(N187,-0.25*L187),
    TRUE,""
)</f>
        <v/>
      </c>
      <c r="N187" s="45" t="str" cm="1">
        <f t="array" ref="N187">_xlfn.IFS(
    H187&lt;&gt;"", H187,
    COUNT(G187,I187)=2, (G187 + (DATEDIF(G187,I187,"d")*0.5)),
    COUNT(G187,J187)=2, (G187 + (DATEDIF(G187,J187,"d")*0.25)),
    COUNT(G187,K187)=2, (G187 + ((DATEDIF(G187,K187,"d")-90)*0.25)),
    COUNT(I187,J187)=2, (I187 -(DATEDIF(I187,J187,"d")*0.5)),
    COUNT(I187,K187)=2, (I187 -((DATEDIF(I187,K187,"d")-90)*0.5)),
    G187&lt;&gt;"", EDATE(G187, + L187*0.25),
    I187&lt;&gt;"", EDATE(I187, - L187*0.25),
    J187&lt;&gt;"", EDATE(J187, - L187*0.75),
    K187&lt;&gt;"", EDATE(K187, -((L187*0.75)+3)),
    TRUE, ""
)</f>
        <v/>
      </c>
      <c r="O187" s="45" t="str" cm="1">
        <f t="array" ref="O187">_xlfn.IFS(
    I187&lt;&gt;"", I187,
    COUNT(H187,J187)=2, (H187 + (DATEDIF(H187,J187,"d")*0.33)),
    COUNT(H187,K187)=2, (H187 + ((DATEDIF(H187,K187,"d")-90)*0.33)),
    COUNT(G187,J187)=2, (G187 +  DATEDIF(G187,J187,"d")*0.5),
    COUNT(G187,K187)=2, (G187 + (DATEDIF(G187,K187,"d")-90)*0.5),
    G187&lt;&gt;"", EDATE(G187, + L187*0.5),
    H187&lt;&gt;"", EDATE(H187, + L187*0.25),
    J187&lt;&gt;"", EDATE(J187, - L187*0.5),
    K187&lt;&gt;"", EDATE(K187, -((L187*0.5)+3)),
    TRUE, ""
)</f>
        <v/>
      </c>
      <c r="P187" s="45" t="str" cm="1">
        <f t="array" ref="P187">_xlfn.IFS(
    J187&lt;&gt;"", J187,
    K187&lt;&gt;"", EDATE(K187, -3),
    G187&lt;&gt;"", EDATE(G187, + L187),
    H187&lt;&gt;"", EDATE(H187, + L187*0.75),
    I187&lt;&gt;"", EDATE(I187, H L187*0.5),
    TRUE, ""
)</f>
        <v/>
      </c>
      <c r="Q187" s="45" t="str" cm="1">
        <f t="array" ref="Q187">_xlfn.IFS(
    K187&lt;&gt;"",K187,
    J187&lt;&gt;"",EDATE(J187,3),
    P187&lt;&gt;"",EDATE(P187,3),
    TRUE,""
)</f>
        <v/>
      </c>
    </row>
    <row r="188" spans="1:17" x14ac:dyDescent="0.3">
      <c r="A188" t="str">
        <f>IF(AND(Projects!A197="", Projects!B197=""), "", IF(Projects!A197="", "Unassigned", Projects!A197))</f>
        <v/>
      </c>
      <c r="B188" t="str">
        <f>IF(Projects!B197&lt;&gt;"",Projects!B197,"")</f>
        <v/>
      </c>
      <c r="C188" t="str">
        <f>IF(AND(Projects!C197="", Projects!B197=""), "", IF(Projects!C197="", "None", Projects!C197))</f>
        <v/>
      </c>
      <c r="D188" t="str">
        <f>IF(AND(Projects!D197="", Projects!B197=""), "", IF(Projects!D197="", "No OpCo", Projects!D197))</f>
        <v/>
      </c>
      <c r="E188" t="str">
        <f>IF(Projects!E197&lt;&gt;"",Projects!E197,"")</f>
        <v/>
      </c>
      <c r="F188" t="str">
        <f>IF(Projects!F197&lt;&gt;"",Projects!F197,"")</f>
        <v/>
      </c>
      <c r="G188" s="45" t="str">
        <f>IF(Projects!G197&lt;&gt;"",Projects!G197,"")</f>
        <v/>
      </c>
      <c r="H188" s="45" t="str">
        <f>IF(Projects!H197&lt;&gt;"",Projects!H197,"")</f>
        <v/>
      </c>
      <c r="I188" s="45" t="str">
        <f>IF(Projects!I197&lt;&gt;"",Projects!I197,"")</f>
        <v/>
      </c>
      <c r="J188" s="45" t="str">
        <f>IF(Projects!J197&lt;&gt;"",Projects!J197,"")</f>
        <v/>
      </c>
      <c r="K188" s="45" t="str">
        <f>IF(Projects!K197&lt;&gt;"",Projects!K197,"")</f>
        <v/>
      </c>
      <c r="L188" t="str">
        <f>IF(AND(Projects!E197&lt;&gt;"", Projects!F197&lt;&gt;""),
INDEX('Duration Table'!$D$7:$H$17,MATCH(Projects!E197,'Duration Table'!$C$7:$C$17,0),MATCH(Projects!F197,'Duration Table'!$D$6:$H$6)),
   ""
)</f>
        <v/>
      </c>
      <c r="M188" s="45" t="str" cm="1">
        <f t="array" ref="M188">_xlfn.IFS(
    G188&lt;&gt;"",G188,
    H188&lt;&gt;"",EDATE(H188,-0.25*L188),
    N188&lt;&gt;"",EDATE(N188,-0.25*L188),
    TRUE,""
)</f>
        <v/>
      </c>
      <c r="N188" s="45" t="str" cm="1">
        <f t="array" ref="N188">_xlfn.IFS(
    H188&lt;&gt;"", H188,
    COUNT(G188,I188)=2, (G188 + (DATEDIF(G188,I188,"d")*0.5)),
    COUNT(G188,J188)=2, (G188 + (DATEDIF(G188,J188,"d")*0.25)),
    COUNT(G188,K188)=2, (G188 + ((DATEDIF(G188,K188,"d")-90)*0.25)),
    COUNT(I188,J188)=2, (I188 -(DATEDIF(I188,J188,"d")*0.5)),
    COUNT(I188,K188)=2, (I188 -((DATEDIF(I188,K188,"d")-90)*0.5)),
    G188&lt;&gt;"", EDATE(G188, + L188*0.25),
    I188&lt;&gt;"", EDATE(I188, - L188*0.25),
    J188&lt;&gt;"", EDATE(J188, - L188*0.75),
    K188&lt;&gt;"", EDATE(K188, -((L188*0.75)+3)),
    TRUE, ""
)</f>
        <v/>
      </c>
      <c r="O188" s="45" t="str" cm="1">
        <f t="array" ref="O188">_xlfn.IFS(
    I188&lt;&gt;"", I188,
    COUNT(H188,J188)=2, (H188 + (DATEDIF(H188,J188,"d")*0.33)),
    COUNT(H188,K188)=2, (H188 + ((DATEDIF(H188,K188,"d")-90)*0.33)),
    COUNT(G188,J188)=2, (G188 +  DATEDIF(G188,J188,"d")*0.5),
    COUNT(G188,K188)=2, (G188 + (DATEDIF(G188,K188,"d")-90)*0.5),
    G188&lt;&gt;"", EDATE(G188, + L188*0.5),
    H188&lt;&gt;"", EDATE(H188, + L188*0.25),
    J188&lt;&gt;"", EDATE(J188, - L188*0.5),
    K188&lt;&gt;"", EDATE(K188, -((L188*0.5)+3)),
    TRUE, ""
)</f>
        <v/>
      </c>
      <c r="P188" s="45" t="str" cm="1">
        <f t="array" ref="P188">_xlfn.IFS(
    J188&lt;&gt;"", J188,
    K188&lt;&gt;"", EDATE(K188, -3),
    G188&lt;&gt;"", EDATE(G188, + L188),
    H188&lt;&gt;"", EDATE(H188, + L188*0.75),
    I188&lt;&gt;"", EDATE(I188, H L188*0.5),
    TRUE, ""
)</f>
        <v/>
      </c>
      <c r="Q188" s="45" t="str" cm="1">
        <f t="array" ref="Q188">_xlfn.IFS(
    K188&lt;&gt;"",K188,
    J188&lt;&gt;"",EDATE(J188,3),
    P188&lt;&gt;"",EDATE(P188,3),
    TRUE,""
)</f>
        <v/>
      </c>
    </row>
    <row r="189" spans="1:17" x14ac:dyDescent="0.3">
      <c r="A189" t="str">
        <f>IF(AND(Projects!A198="", Projects!B198=""), "", IF(Projects!A198="", "Unassigned", Projects!A198))</f>
        <v/>
      </c>
      <c r="B189" t="str">
        <f>IF(Projects!B198&lt;&gt;"",Projects!B198,"")</f>
        <v/>
      </c>
      <c r="C189" t="str">
        <f>IF(AND(Projects!C198="", Projects!B198=""), "", IF(Projects!C198="", "None", Projects!C198))</f>
        <v/>
      </c>
      <c r="D189" t="str">
        <f>IF(AND(Projects!D198="", Projects!B198=""), "", IF(Projects!D198="", "No OpCo", Projects!D198))</f>
        <v/>
      </c>
      <c r="E189" t="str">
        <f>IF(Projects!E198&lt;&gt;"",Projects!E198,"")</f>
        <v/>
      </c>
      <c r="F189" t="str">
        <f>IF(Projects!F198&lt;&gt;"",Projects!F198,"")</f>
        <v/>
      </c>
      <c r="G189" s="45" t="str">
        <f>IF(Projects!G198&lt;&gt;"",Projects!G198,"")</f>
        <v/>
      </c>
      <c r="H189" s="45" t="str">
        <f>IF(Projects!H198&lt;&gt;"",Projects!H198,"")</f>
        <v/>
      </c>
      <c r="I189" s="45" t="str">
        <f>IF(Projects!I198&lt;&gt;"",Projects!I198,"")</f>
        <v/>
      </c>
      <c r="J189" s="45" t="str">
        <f>IF(Projects!J198&lt;&gt;"",Projects!J198,"")</f>
        <v/>
      </c>
      <c r="K189" s="45" t="str">
        <f>IF(Projects!K198&lt;&gt;"",Projects!K198,"")</f>
        <v/>
      </c>
      <c r="L189" t="str">
        <f>IF(AND(Projects!E198&lt;&gt;"", Projects!F198&lt;&gt;""),
INDEX('Duration Table'!$D$7:$H$17,MATCH(Projects!E198,'Duration Table'!$C$7:$C$17,0),MATCH(Projects!F198,'Duration Table'!$D$6:$H$6)),
   ""
)</f>
        <v/>
      </c>
      <c r="M189" s="45" t="str" cm="1">
        <f t="array" ref="M189">_xlfn.IFS(
    G189&lt;&gt;"",G189,
    H189&lt;&gt;"",EDATE(H189,-0.25*L189),
    N189&lt;&gt;"",EDATE(N189,-0.25*L189),
    TRUE,""
)</f>
        <v/>
      </c>
      <c r="N189" s="45" t="str" cm="1">
        <f t="array" ref="N189">_xlfn.IFS(
    H189&lt;&gt;"", H189,
    COUNT(G189,I189)=2, (G189 + (DATEDIF(G189,I189,"d")*0.5)),
    COUNT(G189,J189)=2, (G189 + (DATEDIF(G189,J189,"d")*0.25)),
    COUNT(G189,K189)=2, (G189 + ((DATEDIF(G189,K189,"d")-90)*0.25)),
    COUNT(I189,J189)=2, (I189 -(DATEDIF(I189,J189,"d")*0.5)),
    COUNT(I189,K189)=2, (I189 -((DATEDIF(I189,K189,"d")-90)*0.5)),
    G189&lt;&gt;"", EDATE(G189, + L189*0.25),
    I189&lt;&gt;"", EDATE(I189, - L189*0.25),
    J189&lt;&gt;"", EDATE(J189, - L189*0.75),
    K189&lt;&gt;"", EDATE(K189, -((L189*0.75)+3)),
    TRUE, ""
)</f>
        <v/>
      </c>
      <c r="O189" s="45" t="str" cm="1">
        <f t="array" ref="O189">_xlfn.IFS(
    I189&lt;&gt;"", I189,
    COUNT(H189,J189)=2, (H189 + (DATEDIF(H189,J189,"d")*0.33)),
    COUNT(H189,K189)=2, (H189 + ((DATEDIF(H189,K189,"d")-90)*0.33)),
    COUNT(G189,J189)=2, (G189 +  DATEDIF(G189,J189,"d")*0.5),
    COUNT(G189,K189)=2, (G189 + (DATEDIF(G189,K189,"d")-90)*0.5),
    G189&lt;&gt;"", EDATE(G189, + L189*0.5),
    H189&lt;&gt;"", EDATE(H189, + L189*0.25),
    J189&lt;&gt;"", EDATE(J189, - L189*0.5),
    K189&lt;&gt;"", EDATE(K189, -((L189*0.5)+3)),
    TRUE, ""
)</f>
        <v/>
      </c>
      <c r="P189" s="45" t="str" cm="1">
        <f t="array" ref="P189">_xlfn.IFS(
    J189&lt;&gt;"", J189,
    K189&lt;&gt;"", EDATE(K189, -3),
    G189&lt;&gt;"", EDATE(G189, + L189),
    H189&lt;&gt;"", EDATE(H189, + L189*0.75),
    I189&lt;&gt;"", EDATE(I189, H L189*0.5),
    TRUE, ""
)</f>
        <v/>
      </c>
      <c r="Q189" s="45" t="str" cm="1">
        <f t="array" ref="Q189">_xlfn.IFS(
    K189&lt;&gt;"",K189,
    J189&lt;&gt;"",EDATE(J189,3),
    P189&lt;&gt;"",EDATE(P189,3),
    TRUE,""
)</f>
        <v/>
      </c>
    </row>
    <row r="190" spans="1:17" x14ac:dyDescent="0.3">
      <c r="A190" t="str">
        <f>IF(AND(Projects!A199="", Projects!B199=""), "", IF(Projects!A199="", "Unassigned", Projects!A199))</f>
        <v/>
      </c>
      <c r="B190" t="str">
        <f>IF(Projects!B199&lt;&gt;"",Projects!B199,"")</f>
        <v/>
      </c>
      <c r="C190" t="str">
        <f>IF(AND(Projects!C199="", Projects!B199=""), "", IF(Projects!C199="", "None", Projects!C199))</f>
        <v/>
      </c>
      <c r="D190" t="str">
        <f>IF(AND(Projects!D199="", Projects!B199=""), "", IF(Projects!D199="", "No OpCo", Projects!D199))</f>
        <v/>
      </c>
      <c r="E190" t="str">
        <f>IF(Projects!E199&lt;&gt;"",Projects!E199,"")</f>
        <v/>
      </c>
      <c r="F190" t="str">
        <f>IF(Projects!F199&lt;&gt;"",Projects!F199,"")</f>
        <v/>
      </c>
      <c r="G190" s="45" t="str">
        <f>IF(Projects!G199&lt;&gt;"",Projects!G199,"")</f>
        <v/>
      </c>
      <c r="H190" s="45" t="str">
        <f>IF(Projects!H199&lt;&gt;"",Projects!H199,"")</f>
        <v/>
      </c>
      <c r="I190" s="45" t="str">
        <f>IF(Projects!I199&lt;&gt;"",Projects!I199,"")</f>
        <v/>
      </c>
      <c r="J190" s="45" t="str">
        <f>IF(Projects!J199&lt;&gt;"",Projects!J199,"")</f>
        <v/>
      </c>
      <c r="K190" s="45" t="str">
        <f>IF(Projects!K199&lt;&gt;"",Projects!K199,"")</f>
        <v/>
      </c>
      <c r="L190" t="str">
        <f>IF(AND(Projects!E199&lt;&gt;"", Projects!F199&lt;&gt;""),
INDEX('Duration Table'!$D$7:$H$17,MATCH(Projects!E199,'Duration Table'!$C$7:$C$17,0),MATCH(Projects!F199,'Duration Table'!$D$6:$H$6)),
   ""
)</f>
        <v/>
      </c>
      <c r="M190" s="45" t="str" cm="1">
        <f t="array" ref="M190">_xlfn.IFS(
    G190&lt;&gt;"",G190,
    H190&lt;&gt;"",EDATE(H190,-0.25*L190),
    N190&lt;&gt;"",EDATE(N190,-0.25*L190),
    TRUE,""
)</f>
        <v/>
      </c>
      <c r="N190" s="45" t="str" cm="1">
        <f t="array" ref="N190">_xlfn.IFS(
    H190&lt;&gt;"", H190,
    COUNT(G190,I190)=2, (G190 + (DATEDIF(G190,I190,"d")*0.5)),
    COUNT(G190,J190)=2, (G190 + (DATEDIF(G190,J190,"d")*0.25)),
    COUNT(G190,K190)=2, (G190 + ((DATEDIF(G190,K190,"d")-90)*0.25)),
    COUNT(I190,J190)=2, (I190 -(DATEDIF(I190,J190,"d")*0.5)),
    COUNT(I190,K190)=2, (I190 -((DATEDIF(I190,K190,"d")-90)*0.5)),
    G190&lt;&gt;"", EDATE(G190, + L190*0.25),
    I190&lt;&gt;"", EDATE(I190, - L190*0.25),
    J190&lt;&gt;"", EDATE(J190, - L190*0.75),
    K190&lt;&gt;"", EDATE(K190, -((L190*0.75)+3)),
    TRUE, ""
)</f>
        <v/>
      </c>
      <c r="O190" s="45" t="str" cm="1">
        <f t="array" ref="O190">_xlfn.IFS(
    I190&lt;&gt;"", I190,
    COUNT(H190,J190)=2, (H190 + (DATEDIF(H190,J190,"d")*0.33)),
    COUNT(H190,K190)=2, (H190 + ((DATEDIF(H190,K190,"d")-90)*0.33)),
    COUNT(G190,J190)=2, (G190 +  DATEDIF(G190,J190,"d")*0.5),
    COUNT(G190,K190)=2, (G190 + (DATEDIF(G190,K190,"d")-90)*0.5),
    G190&lt;&gt;"", EDATE(G190, + L190*0.5),
    H190&lt;&gt;"", EDATE(H190, + L190*0.25),
    J190&lt;&gt;"", EDATE(J190, - L190*0.5),
    K190&lt;&gt;"", EDATE(K190, -((L190*0.5)+3)),
    TRUE, ""
)</f>
        <v/>
      </c>
      <c r="P190" s="45" t="str" cm="1">
        <f t="array" ref="P190">_xlfn.IFS(
    J190&lt;&gt;"", J190,
    K190&lt;&gt;"", EDATE(K190, -3),
    G190&lt;&gt;"", EDATE(G190, + L190),
    H190&lt;&gt;"", EDATE(H190, + L190*0.75),
    I190&lt;&gt;"", EDATE(I190, H L190*0.5),
    TRUE, ""
)</f>
        <v/>
      </c>
      <c r="Q190" s="45" t="str" cm="1">
        <f t="array" ref="Q190">_xlfn.IFS(
    K190&lt;&gt;"",K190,
    J190&lt;&gt;"",EDATE(J190,3),
    P190&lt;&gt;"",EDATE(P190,3),
    TRUE,""
)</f>
        <v/>
      </c>
    </row>
    <row r="191" spans="1:17" x14ac:dyDescent="0.3">
      <c r="A191" t="str">
        <f>IF(AND(Projects!A200="", Projects!B200=""), "", IF(Projects!A200="", "Unassigned", Projects!A200))</f>
        <v/>
      </c>
      <c r="B191" t="str">
        <f>IF(Projects!B200&lt;&gt;"",Projects!B200,"")</f>
        <v/>
      </c>
      <c r="C191" t="str">
        <f>IF(AND(Projects!C200="", Projects!B200=""), "", IF(Projects!C200="", "None", Projects!C200))</f>
        <v/>
      </c>
      <c r="D191" t="str">
        <f>IF(AND(Projects!D200="", Projects!B200=""), "", IF(Projects!D200="", "No OpCo", Projects!D200))</f>
        <v/>
      </c>
      <c r="E191" t="str">
        <f>IF(Projects!E200&lt;&gt;"",Projects!E200,"")</f>
        <v/>
      </c>
      <c r="F191" t="str">
        <f>IF(Projects!F200&lt;&gt;"",Projects!F200,"")</f>
        <v/>
      </c>
      <c r="G191" s="45" t="str">
        <f>IF(Projects!G200&lt;&gt;"",Projects!G200,"")</f>
        <v/>
      </c>
      <c r="H191" s="45" t="str">
        <f>IF(Projects!H200&lt;&gt;"",Projects!H200,"")</f>
        <v/>
      </c>
      <c r="I191" s="45" t="str">
        <f>IF(Projects!I200&lt;&gt;"",Projects!I200,"")</f>
        <v/>
      </c>
      <c r="J191" s="45" t="str">
        <f>IF(Projects!J200&lt;&gt;"",Projects!J200,"")</f>
        <v/>
      </c>
      <c r="K191" s="45" t="str">
        <f>IF(Projects!K200&lt;&gt;"",Projects!K200,"")</f>
        <v/>
      </c>
      <c r="L191" t="str">
        <f>IF(AND(Projects!E200&lt;&gt;"", Projects!F200&lt;&gt;""),
INDEX('Duration Table'!$D$7:$H$17,MATCH(Projects!E200,'Duration Table'!$C$7:$C$17,0),MATCH(Projects!F200,'Duration Table'!$D$6:$H$6)),
   ""
)</f>
        <v/>
      </c>
      <c r="M191" s="45" t="str" cm="1">
        <f t="array" ref="M191">_xlfn.IFS(
    G191&lt;&gt;"",G191,
    H191&lt;&gt;"",EDATE(H191,-0.25*L191),
    N191&lt;&gt;"",EDATE(N191,-0.25*L191),
    TRUE,""
)</f>
        <v/>
      </c>
      <c r="N191" s="45" t="str" cm="1">
        <f t="array" ref="N191">_xlfn.IFS(
    H191&lt;&gt;"", H191,
    COUNT(G191,I191)=2, (G191 + (DATEDIF(G191,I191,"d")*0.5)),
    COUNT(G191,J191)=2, (G191 + (DATEDIF(G191,J191,"d")*0.25)),
    COUNT(G191,K191)=2, (G191 + ((DATEDIF(G191,K191,"d")-90)*0.25)),
    COUNT(I191,J191)=2, (I191 -(DATEDIF(I191,J191,"d")*0.5)),
    COUNT(I191,K191)=2, (I191 -((DATEDIF(I191,K191,"d")-90)*0.5)),
    G191&lt;&gt;"", EDATE(G191, + L191*0.25),
    I191&lt;&gt;"", EDATE(I191, - L191*0.25),
    J191&lt;&gt;"", EDATE(J191, - L191*0.75),
    K191&lt;&gt;"", EDATE(K191, -((L191*0.75)+3)),
    TRUE, ""
)</f>
        <v/>
      </c>
      <c r="O191" s="45" t="str" cm="1">
        <f t="array" ref="O191">_xlfn.IFS(
    I191&lt;&gt;"", I191,
    COUNT(H191,J191)=2, (H191 + (DATEDIF(H191,J191,"d")*0.33)),
    COUNT(H191,K191)=2, (H191 + ((DATEDIF(H191,K191,"d")-90)*0.33)),
    COUNT(G191,J191)=2, (G191 +  DATEDIF(G191,J191,"d")*0.5),
    COUNT(G191,K191)=2, (G191 + (DATEDIF(G191,K191,"d")-90)*0.5),
    G191&lt;&gt;"", EDATE(G191, + L191*0.5),
    H191&lt;&gt;"", EDATE(H191, + L191*0.25),
    J191&lt;&gt;"", EDATE(J191, - L191*0.5),
    K191&lt;&gt;"", EDATE(K191, -((L191*0.5)+3)),
    TRUE, ""
)</f>
        <v/>
      </c>
      <c r="P191" s="45" t="str" cm="1">
        <f t="array" ref="P191">_xlfn.IFS(
    J191&lt;&gt;"", J191,
    K191&lt;&gt;"", EDATE(K191, -3),
    G191&lt;&gt;"", EDATE(G191, + L191),
    H191&lt;&gt;"", EDATE(H191, + L191*0.75),
    I191&lt;&gt;"", EDATE(I191, H L191*0.5),
    TRUE, ""
)</f>
        <v/>
      </c>
      <c r="Q191" s="45" t="str" cm="1">
        <f t="array" ref="Q191">_xlfn.IFS(
    K191&lt;&gt;"",K191,
    J191&lt;&gt;"",EDATE(J191,3),
    P191&lt;&gt;"",EDATE(P191,3),
    TRUE,""
)</f>
        <v/>
      </c>
    </row>
    <row r="192" spans="1:17" x14ac:dyDescent="0.3">
      <c r="A192" t="str">
        <f>IF(AND(Projects!A201="", Projects!B201=""), "", IF(Projects!A201="", "Unassigned", Projects!A201))</f>
        <v/>
      </c>
      <c r="B192" t="str">
        <f>IF(Projects!B201&lt;&gt;"",Projects!B201,"")</f>
        <v/>
      </c>
      <c r="C192" t="str">
        <f>IF(AND(Projects!C201="", Projects!B201=""), "", IF(Projects!C201="", "None", Projects!C201))</f>
        <v/>
      </c>
      <c r="D192" t="str">
        <f>IF(AND(Projects!D201="", Projects!B201=""), "", IF(Projects!D201="", "No OpCo", Projects!D201))</f>
        <v/>
      </c>
      <c r="E192" t="str">
        <f>IF(Projects!E201&lt;&gt;"",Projects!E201,"")</f>
        <v/>
      </c>
      <c r="F192" t="str">
        <f>IF(Projects!F201&lt;&gt;"",Projects!F201,"")</f>
        <v/>
      </c>
      <c r="G192" s="45" t="str">
        <f>IF(Projects!G201&lt;&gt;"",Projects!G201,"")</f>
        <v/>
      </c>
      <c r="H192" s="45" t="str">
        <f>IF(Projects!H201&lt;&gt;"",Projects!H201,"")</f>
        <v/>
      </c>
      <c r="I192" s="45" t="str">
        <f>IF(Projects!I201&lt;&gt;"",Projects!I201,"")</f>
        <v/>
      </c>
      <c r="J192" s="45" t="str">
        <f>IF(Projects!J201&lt;&gt;"",Projects!J201,"")</f>
        <v/>
      </c>
      <c r="K192" s="45" t="str">
        <f>IF(Projects!K201&lt;&gt;"",Projects!K201,"")</f>
        <v/>
      </c>
      <c r="L192" t="str">
        <f>IF(AND(Projects!E201&lt;&gt;"", Projects!F201&lt;&gt;""),
INDEX('Duration Table'!$D$7:$H$17,MATCH(Projects!E201,'Duration Table'!$C$7:$C$17,0),MATCH(Projects!F201,'Duration Table'!$D$6:$H$6)),
   ""
)</f>
        <v/>
      </c>
      <c r="M192" s="45" t="str" cm="1">
        <f t="array" ref="M192">_xlfn.IFS(
    G192&lt;&gt;"",G192,
    H192&lt;&gt;"",EDATE(H192,-0.25*L192),
    N192&lt;&gt;"",EDATE(N192,-0.25*L192),
    TRUE,""
)</f>
        <v/>
      </c>
      <c r="N192" s="45" t="str" cm="1">
        <f t="array" ref="N192">_xlfn.IFS(
    H192&lt;&gt;"", H192,
    COUNT(G192,I192)=2, (G192 + (DATEDIF(G192,I192,"d")*0.5)),
    COUNT(G192,J192)=2, (G192 + (DATEDIF(G192,J192,"d")*0.25)),
    COUNT(G192,K192)=2, (G192 + ((DATEDIF(G192,K192,"d")-90)*0.25)),
    COUNT(I192,J192)=2, (I192 -(DATEDIF(I192,J192,"d")*0.5)),
    COUNT(I192,K192)=2, (I192 -((DATEDIF(I192,K192,"d")-90)*0.5)),
    G192&lt;&gt;"", EDATE(G192, + L192*0.25),
    I192&lt;&gt;"", EDATE(I192, - L192*0.25),
    J192&lt;&gt;"", EDATE(J192, - L192*0.75),
    K192&lt;&gt;"", EDATE(K192, -((L192*0.75)+3)),
    TRUE, ""
)</f>
        <v/>
      </c>
      <c r="O192" s="45" t="str" cm="1">
        <f t="array" ref="O192">_xlfn.IFS(
    I192&lt;&gt;"", I192,
    COUNT(H192,J192)=2, (H192 + (DATEDIF(H192,J192,"d")*0.33)),
    COUNT(H192,K192)=2, (H192 + ((DATEDIF(H192,K192,"d")-90)*0.33)),
    COUNT(G192,J192)=2, (G192 +  DATEDIF(G192,J192,"d")*0.5),
    COUNT(G192,K192)=2, (G192 + (DATEDIF(G192,K192,"d")-90)*0.5),
    G192&lt;&gt;"", EDATE(G192, + L192*0.5),
    H192&lt;&gt;"", EDATE(H192, + L192*0.25),
    J192&lt;&gt;"", EDATE(J192, - L192*0.5),
    K192&lt;&gt;"", EDATE(K192, -((L192*0.5)+3)),
    TRUE, ""
)</f>
        <v/>
      </c>
      <c r="P192" s="45" t="str" cm="1">
        <f t="array" ref="P192">_xlfn.IFS(
    J192&lt;&gt;"", J192,
    K192&lt;&gt;"", EDATE(K192, -3),
    G192&lt;&gt;"", EDATE(G192, + L192),
    H192&lt;&gt;"", EDATE(H192, + L192*0.75),
    I192&lt;&gt;"", EDATE(I192, H L192*0.5),
    TRUE, ""
)</f>
        <v/>
      </c>
      <c r="Q192" s="45" t="str" cm="1">
        <f t="array" ref="Q192">_xlfn.IFS(
    K192&lt;&gt;"",K192,
    J192&lt;&gt;"",EDATE(J192,3),
    P192&lt;&gt;"",EDATE(P192,3),
    TRUE,""
)</f>
        <v/>
      </c>
    </row>
    <row r="193" spans="1:17" x14ac:dyDescent="0.3">
      <c r="A193" t="str">
        <f>IF(AND(Projects!A202="", Projects!B202=""), "", IF(Projects!A202="", "Unassigned", Projects!A202))</f>
        <v/>
      </c>
      <c r="B193" t="str">
        <f>IF(Projects!B202&lt;&gt;"",Projects!B202,"")</f>
        <v/>
      </c>
      <c r="C193" t="str">
        <f>IF(AND(Projects!C202="", Projects!B202=""), "", IF(Projects!C202="", "None", Projects!C202))</f>
        <v/>
      </c>
      <c r="D193" t="str">
        <f>IF(AND(Projects!D202="", Projects!B202=""), "", IF(Projects!D202="", "No OpCo", Projects!D202))</f>
        <v/>
      </c>
      <c r="E193" t="str">
        <f>IF(Projects!E202&lt;&gt;"",Projects!E202,"")</f>
        <v/>
      </c>
      <c r="F193" t="str">
        <f>IF(Projects!F202&lt;&gt;"",Projects!F202,"")</f>
        <v/>
      </c>
      <c r="G193" s="45" t="str">
        <f>IF(Projects!G202&lt;&gt;"",Projects!G202,"")</f>
        <v/>
      </c>
      <c r="H193" s="45" t="str">
        <f>IF(Projects!H202&lt;&gt;"",Projects!H202,"")</f>
        <v/>
      </c>
      <c r="I193" s="45" t="str">
        <f>IF(Projects!I202&lt;&gt;"",Projects!I202,"")</f>
        <v/>
      </c>
      <c r="J193" s="45" t="str">
        <f>IF(Projects!J202&lt;&gt;"",Projects!J202,"")</f>
        <v/>
      </c>
      <c r="K193" s="45" t="str">
        <f>IF(Projects!K202&lt;&gt;"",Projects!K202,"")</f>
        <v/>
      </c>
      <c r="L193" t="str">
        <f>IF(AND(Projects!E202&lt;&gt;"", Projects!F202&lt;&gt;""),
INDEX('Duration Table'!$D$7:$H$17,MATCH(Projects!E202,'Duration Table'!$C$7:$C$17,0),MATCH(Projects!F202,'Duration Table'!$D$6:$H$6)),
   ""
)</f>
        <v/>
      </c>
      <c r="M193" s="45" t="str" cm="1">
        <f t="array" ref="M193">_xlfn.IFS(
    G193&lt;&gt;"",G193,
    H193&lt;&gt;"",EDATE(H193,-0.25*L193),
    N193&lt;&gt;"",EDATE(N193,-0.25*L193),
    TRUE,""
)</f>
        <v/>
      </c>
      <c r="N193" s="45" t="str" cm="1">
        <f t="array" ref="N193">_xlfn.IFS(
    H193&lt;&gt;"", H193,
    COUNT(G193,I193)=2, (G193 + (DATEDIF(G193,I193,"d")*0.5)),
    COUNT(G193,J193)=2, (G193 + (DATEDIF(G193,J193,"d")*0.25)),
    COUNT(G193,K193)=2, (G193 + ((DATEDIF(G193,K193,"d")-90)*0.25)),
    COUNT(I193,J193)=2, (I193 -(DATEDIF(I193,J193,"d")*0.5)),
    COUNT(I193,K193)=2, (I193 -((DATEDIF(I193,K193,"d")-90)*0.5)),
    G193&lt;&gt;"", EDATE(G193, + L193*0.25),
    I193&lt;&gt;"", EDATE(I193, - L193*0.25),
    J193&lt;&gt;"", EDATE(J193, - L193*0.75),
    K193&lt;&gt;"", EDATE(K193, -((L193*0.75)+3)),
    TRUE, ""
)</f>
        <v/>
      </c>
      <c r="O193" s="45" t="str" cm="1">
        <f t="array" ref="O193">_xlfn.IFS(
    I193&lt;&gt;"", I193,
    COUNT(H193,J193)=2, (H193 + (DATEDIF(H193,J193,"d")*0.33)),
    COUNT(H193,K193)=2, (H193 + ((DATEDIF(H193,K193,"d")-90)*0.33)),
    COUNT(G193,J193)=2, (G193 +  DATEDIF(G193,J193,"d")*0.5),
    COUNT(G193,K193)=2, (G193 + (DATEDIF(G193,K193,"d")-90)*0.5),
    G193&lt;&gt;"", EDATE(G193, + L193*0.5),
    H193&lt;&gt;"", EDATE(H193, + L193*0.25),
    J193&lt;&gt;"", EDATE(J193, - L193*0.5),
    K193&lt;&gt;"", EDATE(K193, -((L193*0.5)+3)),
    TRUE, ""
)</f>
        <v/>
      </c>
      <c r="P193" s="45" t="str" cm="1">
        <f t="array" ref="P193">_xlfn.IFS(
    J193&lt;&gt;"", J193,
    K193&lt;&gt;"", EDATE(K193, -3),
    G193&lt;&gt;"", EDATE(G193, + L193),
    H193&lt;&gt;"", EDATE(H193, + L193*0.75),
    I193&lt;&gt;"", EDATE(I193, H L193*0.5),
    TRUE, ""
)</f>
        <v/>
      </c>
      <c r="Q193" s="45" t="str" cm="1">
        <f t="array" ref="Q193">_xlfn.IFS(
    K193&lt;&gt;"",K193,
    J193&lt;&gt;"",EDATE(J193,3),
    P193&lt;&gt;"",EDATE(P193,3),
    TRUE,""
)</f>
        <v/>
      </c>
    </row>
    <row r="194" spans="1:17" x14ac:dyDescent="0.3">
      <c r="A194" t="str">
        <f>IF(AND(Projects!A203="", Projects!B203=""), "", IF(Projects!A203="", "Unassigned", Projects!A203))</f>
        <v/>
      </c>
      <c r="B194" t="str">
        <f>IF(Projects!B203&lt;&gt;"",Projects!B203,"")</f>
        <v/>
      </c>
      <c r="C194" t="str">
        <f>IF(AND(Projects!C203="", Projects!B203=""), "", IF(Projects!C203="", "None", Projects!C203))</f>
        <v/>
      </c>
      <c r="D194" t="str">
        <f>IF(AND(Projects!D203="", Projects!B203=""), "", IF(Projects!D203="", "No OpCo", Projects!D203))</f>
        <v/>
      </c>
      <c r="E194" t="str">
        <f>IF(Projects!E203&lt;&gt;"",Projects!E203,"")</f>
        <v/>
      </c>
      <c r="F194" t="str">
        <f>IF(Projects!F203&lt;&gt;"",Projects!F203,"")</f>
        <v/>
      </c>
      <c r="G194" s="45" t="str">
        <f>IF(Projects!G203&lt;&gt;"",Projects!G203,"")</f>
        <v/>
      </c>
      <c r="H194" s="45" t="str">
        <f>IF(Projects!H203&lt;&gt;"",Projects!H203,"")</f>
        <v/>
      </c>
      <c r="I194" s="45" t="str">
        <f>IF(Projects!I203&lt;&gt;"",Projects!I203,"")</f>
        <v/>
      </c>
      <c r="J194" s="45" t="str">
        <f>IF(Projects!J203&lt;&gt;"",Projects!J203,"")</f>
        <v/>
      </c>
      <c r="K194" s="45" t="str">
        <f>IF(Projects!K203&lt;&gt;"",Projects!K203,"")</f>
        <v/>
      </c>
      <c r="L194" t="str">
        <f>IF(AND(Projects!E203&lt;&gt;"", Projects!F203&lt;&gt;""),
INDEX('Duration Table'!$D$7:$H$17,MATCH(Projects!E203,'Duration Table'!$C$7:$C$17,0),MATCH(Projects!F203,'Duration Table'!$D$6:$H$6)),
   ""
)</f>
        <v/>
      </c>
      <c r="M194" s="45" t="str" cm="1">
        <f t="array" ref="M194">_xlfn.IFS(
    G194&lt;&gt;"",G194,
    H194&lt;&gt;"",EDATE(H194,-0.25*L194),
    N194&lt;&gt;"",EDATE(N194,-0.25*L194),
    TRUE,""
)</f>
        <v/>
      </c>
      <c r="N194" s="45" t="str" cm="1">
        <f t="array" ref="N194">_xlfn.IFS(
    H194&lt;&gt;"", H194,
    COUNT(G194,I194)=2, (G194 + (DATEDIF(G194,I194,"d")*0.5)),
    COUNT(G194,J194)=2, (G194 + (DATEDIF(G194,J194,"d")*0.25)),
    COUNT(G194,K194)=2, (G194 + ((DATEDIF(G194,K194,"d")-90)*0.25)),
    COUNT(I194,J194)=2, (I194 -(DATEDIF(I194,J194,"d")*0.5)),
    COUNT(I194,K194)=2, (I194 -((DATEDIF(I194,K194,"d")-90)*0.5)),
    G194&lt;&gt;"", EDATE(G194, + L194*0.25),
    I194&lt;&gt;"", EDATE(I194, - L194*0.25),
    J194&lt;&gt;"", EDATE(J194, - L194*0.75),
    K194&lt;&gt;"", EDATE(K194, -((L194*0.75)+3)),
    TRUE, ""
)</f>
        <v/>
      </c>
      <c r="O194" s="45" t="str" cm="1">
        <f t="array" ref="O194">_xlfn.IFS(
    I194&lt;&gt;"", I194,
    COUNT(H194,J194)=2, (H194 + (DATEDIF(H194,J194,"d")*0.33)),
    COUNT(H194,K194)=2, (H194 + ((DATEDIF(H194,K194,"d")-90)*0.33)),
    COUNT(G194,J194)=2, (G194 +  DATEDIF(G194,J194,"d")*0.5),
    COUNT(G194,K194)=2, (G194 + (DATEDIF(G194,K194,"d")-90)*0.5),
    G194&lt;&gt;"", EDATE(G194, + L194*0.5),
    H194&lt;&gt;"", EDATE(H194, + L194*0.25),
    J194&lt;&gt;"", EDATE(J194, - L194*0.5),
    K194&lt;&gt;"", EDATE(K194, -((L194*0.5)+3)),
    TRUE, ""
)</f>
        <v/>
      </c>
      <c r="P194" s="45" t="str" cm="1">
        <f t="array" ref="P194">_xlfn.IFS(
    J194&lt;&gt;"", J194,
    K194&lt;&gt;"", EDATE(K194, -3),
    G194&lt;&gt;"", EDATE(G194, + L194),
    H194&lt;&gt;"", EDATE(H194, + L194*0.75),
    I194&lt;&gt;"", EDATE(I194, H L194*0.5),
    TRUE, ""
)</f>
        <v/>
      </c>
      <c r="Q194" s="45" t="str" cm="1">
        <f t="array" ref="Q194">_xlfn.IFS(
    K194&lt;&gt;"",K194,
    J194&lt;&gt;"",EDATE(J194,3),
    P194&lt;&gt;"",EDATE(P194,3),
    TRUE,""
)</f>
        <v/>
      </c>
    </row>
    <row r="195" spans="1:17" x14ac:dyDescent="0.3">
      <c r="A195" t="str">
        <f>IF(AND(Projects!A204="", Projects!B204=""), "", IF(Projects!A204="", "Unassigned", Projects!A204))</f>
        <v/>
      </c>
      <c r="B195" t="str">
        <f>IF(Projects!B204&lt;&gt;"",Projects!B204,"")</f>
        <v/>
      </c>
      <c r="C195" t="str">
        <f>IF(AND(Projects!C204="", Projects!B204=""), "", IF(Projects!C204="", "None", Projects!C204))</f>
        <v/>
      </c>
      <c r="D195" t="str">
        <f>IF(AND(Projects!D204="", Projects!B204=""), "", IF(Projects!D204="", "No OpCo", Projects!D204))</f>
        <v/>
      </c>
      <c r="E195" t="str">
        <f>IF(Projects!E204&lt;&gt;"",Projects!E204,"")</f>
        <v/>
      </c>
      <c r="F195" t="str">
        <f>IF(Projects!F204&lt;&gt;"",Projects!F204,"")</f>
        <v/>
      </c>
      <c r="G195" s="45" t="str">
        <f>IF(Projects!G204&lt;&gt;"",Projects!G204,"")</f>
        <v/>
      </c>
      <c r="H195" s="45" t="str">
        <f>IF(Projects!H204&lt;&gt;"",Projects!H204,"")</f>
        <v/>
      </c>
      <c r="I195" s="45" t="str">
        <f>IF(Projects!I204&lt;&gt;"",Projects!I204,"")</f>
        <v/>
      </c>
      <c r="J195" s="45" t="str">
        <f>IF(Projects!J204&lt;&gt;"",Projects!J204,"")</f>
        <v/>
      </c>
      <c r="K195" s="45" t="str">
        <f>IF(Projects!K204&lt;&gt;"",Projects!K204,"")</f>
        <v/>
      </c>
      <c r="L195" t="str">
        <f>IF(AND(Projects!E204&lt;&gt;"", Projects!F204&lt;&gt;""),
INDEX('Duration Table'!$D$7:$H$17,MATCH(Projects!E204,'Duration Table'!$C$7:$C$17,0),MATCH(Projects!F204,'Duration Table'!$D$6:$H$6)),
   ""
)</f>
        <v/>
      </c>
      <c r="M195" s="45" t="str" cm="1">
        <f t="array" ref="M195">_xlfn.IFS(
    G195&lt;&gt;"",G195,
    H195&lt;&gt;"",EDATE(H195,-0.25*L195),
    N195&lt;&gt;"",EDATE(N195,-0.25*L195),
    TRUE,""
)</f>
        <v/>
      </c>
      <c r="N195" s="45" t="str" cm="1">
        <f t="array" ref="N195">_xlfn.IFS(
    H195&lt;&gt;"", H195,
    COUNT(G195,I195)=2, (G195 + (DATEDIF(G195,I195,"d")*0.5)),
    COUNT(G195,J195)=2, (G195 + (DATEDIF(G195,J195,"d")*0.25)),
    COUNT(G195,K195)=2, (G195 + ((DATEDIF(G195,K195,"d")-90)*0.25)),
    COUNT(I195,J195)=2, (I195 -(DATEDIF(I195,J195,"d")*0.5)),
    COUNT(I195,K195)=2, (I195 -((DATEDIF(I195,K195,"d")-90)*0.5)),
    G195&lt;&gt;"", EDATE(G195, + L195*0.25),
    I195&lt;&gt;"", EDATE(I195, - L195*0.25),
    J195&lt;&gt;"", EDATE(J195, - L195*0.75),
    K195&lt;&gt;"", EDATE(K195, -((L195*0.75)+3)),
    TRUE, ""
)</f>
        <v/>
      </c>
      <c r="O195" s="45" t="str" cm="1">
        <f t="array" ref="O195">_xlfn.IFS(
    I195&lt;&gt;"", I195,
    COUNT(H195,J195)=2, (H195 + (DATEDIF(H195,J195,"d")*0.33)),
    COUNT(H195,K195)=2, (H195 + ((DATEDIF(H195,K195,"d")-90)*0.33)),
    COUNT(G195,J195)=2, (G195 +  DATEDIF(G195,J195,"d")*0.5),
    COUNT(G195,K195)=2, (G195 + (DATEDIF(G195,K195,"d")-90)*0.5),
    G195&lt;&gt;"", EDATE(G195, + L195*0.5),
    H195&lt;&gt;"", EDATE(H195, + L195*0.25),
    J195&lt;&gt;"", EDATE(J195, - L195*0.5),
    K195&lt;&gt;"", EDATE(K195, -((L195*0.5)+3)),
    TRUE, ""
)</f>
        <v/>
      </c>
      <c r="P195" s="45" t="str" cm="1">
        <f t="array" ref="P195">_xlfn.IFS(
    J195&lt;&gt;"", J195,
    K195&lt;&gt;"", EDATE(K195, -3),
    G195&lt;&gt;"", EDATE(G195, + L195),
    H195&lt;&gt;"", EDATE(H195, + L195*0.75),
    I195&lt;&gt;"", EDATE(I195, H L195*0.5),
    TRUE, ""
)</f>
        <v/>
      </c>
      <c r="Q195" s="45" t="str" cm="1">
        <f t="array" ref="Q195">_xlfn.IFS(
    K195&lt;&gt;"",K195,
    J195&lt;&gt;"",EDATE(J195,3),
    P195&lt;&gt;"",EDATE(P195,3),
    TRUE,""
)</f>
        <v/>
      </c>
    </row>
    <row r="196" spans="1:17" x14ac:dyDescent="0.3">
      <c r="A196" t="str">
        <f>IF(AND(Projects!A205="", Projects!B205=""), "", IF(Projects!A205="", "Unassigned", Projects!A205))</f>
        <v/>
      </c>
      <c r="B196" t="str">
        <f>IF(Projects!B205&lt;&gt;"",Projects!B205,"")</f>
        <v/>
      </c>
      <c r="C196" t="str">
        <f>IF(AND(Projects!C205="", Projects!B205=""), "", IF(Projects!C205="", "None", Projects!C205))</f>
        <v/>
      </c>
      <c r="D196" t="str">
        <f>IF(AND(Projects!D205="", Projects!B205=""), "", IF(Projects!D205="", "No OpCo", Projects!D205))</f>
        <v/>
      </c>
      <c r="E196" t="str">
        <f>IF(Projects!E205&lt;&gt;"",Projects!E205,"")</f>
        <v/>
      </c>
      <c r="F196" t="str">
        <f>IF(Projects!F205&lt;&gt;"",Projects!F205,"")</f>
        <v/>
      </c>
      <c r="G196" s="45" t="str">
        <f>IF(Projects!G205&lt;&gt;"",Projects!G205,"")</f>
        <v/>
      </c>
      <c r="H196" s="45" t="str">
        <f>IF(Projects!H205&lt;&gt;"",Projects!H205,"")</f>
        <v/>
      </c>
      <c r="I196" s="45" t="str">
        <f>IF(Projects!I205&lt;&gt;"",Projects!I205,"")</f>
        <v/>
      </c>
      <c r="J196" s="45" t="str">
        <f>IF(Projects!J205&lt;&gt;"",Projects!J205,"")</f>
        <v/>
      </c>
      <c r="K196" s="45" t="str">
        <f>IF(Projects!K205&lt;&gt;"",Projects!K205,"")</f>
        <v/>
      </c>
      <c r="L196" t="str">
        <f>IF(AND(Projects!E205&lt;&gt;"", Projects!F205&lt;&gt;""),
INDEX('Duration Table'!$D$7:$H$17,MATCH(Projects!E205,'Duration Table'!$C$7:$C$17,0),MATCH(Projects!F205,'Duration Table'!$D$6:$H$6)),
   ""
)</f>
        <v/>
      </c>
      <c r="M196" s="45" t="str" cm="1">
        <f t="array" ref="M196">_xlfn.IFS(
    G196&lt;&gt;"",G196,
    H196&lt;&gt;"",EDATE(H196,-0.25*L196),
    N196&lt;&gt;"",EDATE(N196,-0.25*L196),
    TRUE,""
)</f>
        <v/>
      </c>
      <c r="N196" s="45" t="str" cm="1">
        <f t="array" ref="N196">_xlfn.IFS(
    H196&lt;&gt;"", H196,
    COUNT(G196,I196)=2, (G196 + (DATEDIF(G196,I196,"d")*0.5)),
    COUNT(G196,J196)=2, (G196 + (DATEDIF(G196,J196,"d")*0.25)),
    COUNT(G196,K196)=2, (G196 + ((DATEDIF(G196,K196,"d")-90)*0.25)),
    COUNT(I196,J196)=2, (I196 -(DATEDIF(I196,J196,"d")*0.5)),
    COUNT(I196,K196)=2, (I196 -((DATEDIF(I196,K196,"d")-90)*0.5)),
    G196&lt;&gt;"", EDATE(G196, + L196*0.25),
    I196&lt;&gt;"", EDATE(I196, - L196*0.25),
    J196&lt;&gt;"", EDATE(J196, - L196*0.75),
    K196&lt;&gt;"", EDATE(K196, -((L196*0.75)+3)),
    TRUE, ""
)</f>
        <v/>
      </c>
      <c r="O196" s="45" t="str" cm="1">
        <f t="array" ref="O196">_xlfn.IFS(
    I196&lt;&gt;"", I196,
    COUNT(H196,J196)=2, (H196 + (DATEDIF(H196,J196,"d")*0.33)),
    COUNT(H196,K196)=2, (H196 + ((DATEDIF(H196,K196,"d")-90)*0.33)),
    COUNT(G196,J196)=2, (G196 +  DATEDIF(G196,J196,"d")*0.5),
    COUNT(G196,K196)=2, (G196 + (DATEDIF(G196,K196,"d")-90)*0.5),
    G196&lt;&gt;"", EDATE(G196, + L196*0.5),
    H196&lt;&gt;"", EDATE(H196, + L196*0.25),
    J196&lt;&gt;"", EDATE(J196, - L196*0.5),
    K196&lt;&gt;"", EDATE(K196, -((L196*0.5)+3)),
    TRUE, ""
)</f>
        <v/>
      </c>
      <c r="P196" s="45" t="str" cm="1">
        <f t="array" ref="P196">_xlfn.IFS(
    J196&lt;&gt;"", J196,
    K196&lt;&gt;"", EDATE(K196, -3),
    G196&lt;&gt;"", EDATE(G196, + L196),
    H196&lt;&gt;"", EDATE(H196, + L196*0.75),
    I196&lt;&gt;"", EDATE(I196, H L196*0.5),
    TRUE, ""
)</f>
        <v/>
      </c>
      <c r="Q196" s="45" t="str" cm="1">
        <f t="array" ref="Q196">_xlfn.IFS(
    K196&lt;&gt;"",K196,
    J196&lt;&gt;"",EDATE(J196,3),
    P196&lt;&gt;"",EDATE(P196,3),
    TRUE,""
)</f>
        <v/>
      </c>
    </row>
    <row r="197" spans="1:17" x14ac:dyDescent="0.3">
      <c r="A197" t="str">
        <f>IF(AND(Projects!A206="", Projects!B206=""), "", IF(Projects!A206="", "Unassigned", Projects!A206))</f>
        <v/>
      </c>
      <c r="B197" t="str">
        <f>IF(Projects!B206&lt;&gt;"",Projects!B206,"")</f>
        <v/>
      </c>
      <c r="C197" t="str">
        <f>IF(AND(Projects!C206="", Projects!B206=""), "", IF(Projects!C206="", "None", Projects!C206))</f>
        <v/>
      </c>
      <c r="D197" t="str">
        <f>IF(AND(Projects!D206="", Projects!B206=""), "", IF(Projects!D206="", "No OpCo", Projects!D206))</f>
        <v/>
      </c>
      <c r="E197" t="str">
        <f>IF(Projects!E206&lt;&gt;"",Projects!E206,"")</f>
        <v/>
      </c>
      <c r="F197" t="str">
        <f>IF(Projects!F206&lt;&gt;"",Projects!F206,"")</f>
        <v/>
      </c>
      <c r="G197" s="45" t="str">
        <f>IF(Projects!G206&lt;&gt;"",Projects!G206,"")</f>
        <v/>
      </c>
      <c r="H197" s="45" t="str">
        <f>IF(Projects!H206&lt;&gt;"",Projects!H206,"")</f>
        <v/>
      </c>
      <c r="I197" s="45" t="str">
        <f>IF(Projects!I206&lt;&gt;"",Projects!I206,"")</f>
        <v/>
      </c>
      <c r="J197" s="45" t="str">
        <f>IF(Projects!J206&lt;&gt;"",Projects!J206,"")</f>
        <v/>
      </c>
      <c r="K197" s="45" t="str">
        <f>IF(Projects!K206&lt;&gt;"",Projects!K206,"")</f>
        <v/>
      </c>
      <c r="L197" t="str">
        <f>IF(AND(Projects!E206&lt;&gt;"", Projects!F206&lt;&gt;""),
INDEX('Duration Table'!$D$7:$H$17,MATCH(Projects!E206,'Duration Table'!$C$7:$C$17,0),MATCH(Projects!F206,'Duration Table'!$D$6:$H$6)),
   ""
)</f>
        <v/>
      </c>
      <c r="M197" s="45" t="str" cm="1">
        <f t="array" ref="M197">_xlfn.IFS(
    G197&lt;&gt;"",G197,
    H197&lt;&gt;"",EDATE(H197,-0.25*L197),
    N197&lt;&gt;"",EDATE(N197,-0.25*L197),
    TRUE,""
)</f>
        <v/>
      </c>
      <c r="N197" s="45" t="str" cm="1">
        <f t="array" ref="N197">_xlfn.IFS(
    H197&lt;&gt;"", H197,
    COUNT(G197,I197)=2, (G197 + (DATEDIF(G197,I197,"d")*0.5)),
    COUNT(G197,J197)=2, (G197 + (DATEDIF(G197,J197,"d")*0.25)),
    COUNT(G197,K197)=2, (G197 + ((DATEDIF(G197,K197,"d")-90)*0.25)),
    COUNT(I197,J197)=2, (I197 -(DATEDIF(I197,J197,"d")*0.5)),
    COUNT(I197,K197)=2, (I197 -((DATEDIF(I197,K197,"d")-90)*0.5)),
    G197&lt;&gt;"", EDATE(G197, + L197*0.25),
    I197&lt;&gt;"", EDATE(I197, - L197*0.25),
    J197&lt;&gt;"", EDATE(J197, - L197*0.75),
    K197&lt;&gt;"", EDATE(K197, -((L197*0.75)+3)),
    TRUE, ""
)</f>
        <v/>
      </c>
      <c r="O197" s="45" t="str" cm="1">
        <f t="array" ref="O197">_xlfn.IFS(
    I197&lt;&gt;"", I197,
    COUNT(H197,J197)=2, (H197 + (DATEDIF(H197,J197,"d")*0.33)),
    COUNT(H197,K197)=2, (H197 + ((DATEDIF(H197,K197,"d")-90)*0.33)),
    COUNT(G197,J197)=2, (G197 +  DATEDIF(G197,J197,"d")*0.5),
    COUNT(G197,K197)=2, (G197 + (DATEDIF(G197,K197,"d")-90)*0.5),
    G197&lt;&gt;"", EDATE(G197, + L197*0.5),
    H197&lt;&gt;"", EDATE(H197, + L197*0.25),
    J197&lt;&gt;"", EDATE(J197, - L197*0.5),
    K197&lt;&gt;"", EDATE(K197, -((L197*0.5)+3)),
    TRUE, ""
)</f>
        <v/>
      </c>
      <c r="P197" s="45" t="str" cm="1">
        <f t="array" ref="P197">_xlfn.IFS(
    J197&lt;&gt;"", J197,
    K197&lt;&gt;"", EDATE(K197, -3),
    G197&lt;&gt;"", EDATE(G197, + L197),
    H197&lt;&gt;"", EDATE(H197, + L197*0.75),
    I197&lt;&gt;"", EDATE(I197, H L197*0.5),
    TRUE, ""
)</f>
        <v/>
      </c>
      <c r="Q197" s="45" t="str" cm="1">
        <f t="array" ref="Q197">_xlfn.IFS(
    K197&lt;&gt;"",K197,
    J197&lt;&gt;"",EDATE(J197,3),
    P197&lt;&gt;"",EDATE(P197,3),
    TRUE,""
)</f>
        <v/>
      </c>
    </row>
    <row r="198" spans="1:17" x14ac:dyDescent="0.3">
      <c r="A198" t="str">
        <f>IF(AND(Projects!A207="", Projects!B207=""), "", IF(Projects!A207="", "Unassigned", Projects!A207))</f>
        <v/>
      </c>
      <c r="B198" t="str">
        <f>IF(Projects!B207&lt;&gt;"",Projects!B207,"")</f>
        <v/>
      </c>
      <c r="C198" t="str">
        <f>IF(AND(Projects!C207="", Projects!B207=""), "", IF(Projects!C207="", "None", Projects!C207))</f>
        <v/>
      </c>
      <c r="D198" t="str">
        <f>IF(AND(Projects!D207="", Projects!B207=""), "", IF(Projects!D207="", "No OpCo", Projects!D207))</f>
        <v/>
      </c>
      <c r="E198" t="str">
        <f>IF(Projects!E207&lt;&gt;"",Projects!E207,"")</f>
        <v/>
      </c>
      <c r="F198" t="str">
        <f>IF(Projects!F207&lt;&gt;"",Projects!F207,"")</f>
        <v/>
      </c>
      <c r="G198" s="45" t="str">
        <f>IF(Projects!G207&lt;&gt;"",Projects!G207,"")</f>
        <v/>
      </c>
      <c r="H198" s="45" t="str">
        <f>IF(Projects!H207&lt;&gt;"",Projects!H207,"")</f>
        <v/>
      </c>
      <c r="I198" s="45" t="str">
        <f>IF(Projects!I207&lt;&gt;"",Projects!I207,"")</f>
        <v/>
      </c>
      <c r="J198" s="45" t="str">
        <f>IF(Projects!J207&lt;&gt;"",Projects!J207,"")</f>
        <v/>
      </c>
      <c r="K198" s="45" t="str">
        <f>IF(Projects!K207&lt;&gt;"",Projects!K207,"")</f>
        <v/>
      </c>
      <c r="L198" t="str">
        <f>IF(AND(Projects!E207&lt;&gt;"", Projects!F207&lt;&gt;""),
INDEX('Duration Table'!$D$7:$H$17,MATCH(Projects!E207,'Duration Table'!$C$7:$C$17,0),MATCH(Projects!F207,'Duration Table'!$D$6:$H$6)),
   ""
)</f>
        <v/>
      </c>
      <c r="M198" s="45" t="str" cm="1">
        <f t="array" ref="M198">_xlfn.IFS(
    G198&lt;&gt;"",G198,
    H198&lt;&gt;"",EDATE(H198,-0.25*L198),
    N198&lt;&gt;"",EDATE(N198,-0.25*L198),
    TRUE,""
)</f>
        <v/>
      </c>
      <c r="N198" s="45" t="str" cm="1">
        <f t="array" ref="N198">_xlfn.IFS(
    H198&lt;&gt;"", H198,
    COUNT(G198,I198)=2, (G198 + (DATEDIF(G198,I198,"d")*0.5)),
    COUNT(G198,J198)=2, (G198 + (DATEDIF(G198,J198,"d")*0.25)),
    COUNT(G198,K198)=2, (G198 + ((DATEDIF(G198,K198,"d")-90)*0.25)),
    COUNT(I198,J198)=2, (I198 -(DATEDIF(I198,J198,"d")*0.5)),
    COUNT(I198,K198)=2, (I198 -((DATEDIF(I198,K198,"d")-90)*0.5)),
    G198&lt;&gt;"", EDATE(G198, + L198*0.25),
    I198&lt;&gt;"", EDATE(I198, - L198*0.25),
    J198&lt;&gt;"", EDATE(J198, - L198*0.75),
    K198&lt;&gt;"", EDATE(K198, -((L198*0.75)+3)),
    TRUE, ""
)</f>
        <v/>
      </c>
      <c r="O198" s="45" t="str" cm="1">
        <f t="array" ref="O198">_xlfn.IFS(
    I198&lt;&gt;"", I198,
    COUNT(H198,J198)=2, (H198 + (DATEDIF(H198,J198,"d")*0.33)),
    COUNT(H198,K198)=2, (H198 + ((DATEDIF(H198,K198,"d")-90)*0.33)),
    COUNT(G198,J198)=2, (G198 +  DATEDIF(G198,J198,"d")*0.5),
    COUNT(G198,K198)=2, (G198 + (DATEDIF(G198,K198,"d")-90)*0.5),
    G198&lt;&gt;"", EDATE(G198, + L198*0.5),
    H198&lt;&gt;"", EDATE(H198, + L198*0.25),
    J198&lt;&gt;"", EDATE(J198, - L198*0.5),
    K198&lt;&gt;"", EDATE(K198, -((L198*0.5)+3)),
    TRUE, ""
)</f>
        <v/>
      </c>
      <c r="P198" s="45" t="str" cm="1">
        <f t="array" ref="P198">_xlfn.IFS(
    J198&lt;&gt;"", J198,
    K198&lt;&gt;"", EDATE(K198, -3),
    G198&lt;&gt;"", EDATE(G198, + L198),
    H198&lt;&gt;"", EDATE(H198, + L198*0.75),
    I198&lt;&gt;"", EDATE(I198, H L198*0.5),
    TRUE, ""
)</f>
        <v/>
      </c>
      <c r="Q198" s="45" t="str" cm="1">
        <f t="array" ref="Q198">_xlfn.IFS(
    K198&lt;&gt;"",K198,
    J198&lt;&gt;"",EDATE(J198,3),
    P198&lt;&gt;"",EDATE(P198,3),
    TRUE,""
)</f>
        <v/>
      </c>
    </row>
    <row r="199" spans="1:17" x14ac:dyDescent="0.3">
      <c r="A199" t="str">
        <f>IF(AND(Projects!A208="", Projects!B208=""), "", IF(Projects!A208="", "Unassigned", Projects!A208))</f>
        <v/>
      </c>
      <c r="B199" t="str">
        <f>IF(Projects!B208&lt;&gt;"",Projects!B208,"")</f>
        <v/>
      </c>
      <c r="C199" t="str">
        <f>IF(AND(Projects!C208="", Projects!B208=""), "", IF(Projects!C208="", "None", Projects!C208))</f>
        <v/>
      </c>
      <c r="D199" t="str">
        <f>IF(AND(Projects!D208="", Projects!B208=""), "", IF(Projects!D208="", "No OpCo", Projects!D208))</f>
        <v/>
      </c>
      <c r="E199" t="str">
        <f>IF(Projects!E208&lt;&gt;"",Projects!E208,"")</f>
        <v/>
      </c>
      <c r="F199" t="str">
        <f>IF(Projects!F208&lt;&gt;"",Projects!F208,"")</f>
        <v/>
      </c>
      <c r="G199" s="45" t="str">
        <f>IF(Projects!G208&lt;&gt;"",Projects!G208,"")</f>
        <v/>
      </c>
      <c r="H199" s="45" t="str">
        <f>IF(Projects!H208&lt;&gt;"",Projects!H208,"")</f>
        <v/>
      </c>
      <c r="I199" s="45" t="str">
        <f>IF(Projects!I208&lt;&gt;"",Projects!I208,"")</f>
        <v/>
      </c>
      <c r="J199" s="45" t="str">
        <f>IF(Projects!J208&lt;&gt;"",Projects!J208,"")</f>
        <v/>
      </c>
      <c r="K199" s="45" t="str">
        <f>IF(Projects!K208&lt;&gt;"",Projects!K208,"")</f>
        <v/>
      </c>
      <c r="L199" t="str">
        <f>IF(AND(Projects!E208&lt;&gt;"", Projects!F208&lt;&gt;""),
INDEX('Duration Table'!$D$7:$H$17,MATCH(Projects!E208,'Duration Table'!$C$7:$C$17,0),MATCH(Projects!F208,'Duration Table'!$D$6:$H$6)),
   ""
)</f>
        <v/>
      </c>
      <c r="M199" s="45" t="str" cm="1">
        <f t="array" ref="M199">_xlfn.IFS(
    G199&lt;&gt;"",G199,
    H199&lt;&gt;"",EDATE(H199,-0.25*L199),
    N199&lt;&gt;"",EDATE(N199,-0.25*L199),
    TRUE,""
)</f>
        <v/>
      </c>
      <c r="N199" s="45" t="str" cm="1">
        <f t="array" ref="N199">_xlfn.IFS(
    H199&lt;&gt;"", H199,
    COUNT(G199,I199)=2, (G199 + (DATEDIF(G199,I199,"d")*0.5)),
    COUNT(G199,J199)=2, (G199 + (DATEDIF(G199,J199,"d")*0.25)),
    COUNT(G199,K199)=2, (G199 + ((DATEDIF(G199,K199,"d")-90)*0.25)),
    COUNT(I199,J199)=2, (I199 -(DATEDIF(I199,J199,"d")*0.5)),
    COUNT(I199,K199)=2, (I199 -((DATEDIF(I199,K199,"d")-90)*0.5)),
    G199&lt;&gt;"", EDATE(G199, + L199*0.25),
    I199&lt;&gt;"", EDATE(I199, - L199*0.25),
    J199&lt;&gt;"", EDATE(J199, - L199*0.75),
    K199&lt;&gt;"", EDATE(K199, -((L199*0.75)+3)),
    TRUE, ""
)</f>
        <v/>
      </c>
      <c r="O199" s="45" t="str" cm="1">
        <f t="array" ref="O199">_xlfn.IFS(
    I199&lt;&gt;"", I199,
    COUNT(H199,J199)=2, (H199 + (DATEDIF(H199,J199,"d")*0.33)),
    COUNT(H199,K199)=2, (H199 + ((DATEDIF(H199,K199,"d")-90)*0.33)),
    COUNT(G199,J199)=2, (G199 +  DATEDIF(G199,J199,"d")*0.5),
    COUNT(G199,K199)=2, (G199 + (DATEDIF(G199,K199,"d")-90)*0.5),
    G199&lt;&gt;"", EDATE(G199, + L199*0.5),
    H199&lt;&gt;"", EDATE(H199, + L199*0.25),
    J199&lt;&gt;"", EDATE(J199, - L199*0.5),
    K199&lt;&gt;"", EDATE(K199, -((L199*0.5)+3)),
    TRUE, ""
)</f>
        <v/>
      </c>
      <c r="P199" s="45" t="str" cm="1">
        <f t="array" ref="P199">_xlfn.IFS(
    J199&lt;&gt;"", J199,
    K199&lt;&gt;"", EDATE(K199, -3),
    G199&lt;&gt;"", EDATE(G199, + L199),
    H199&lt;&gt;"", EDATE(H199, + L199*0.75),
    I199&lt;&gt;"", EDATE(I199, H L199*0.5),
    TRUE, ""
)</f>
        <v/>
      </c>
      <c r="Q199" s="45" t="str" cm="1">
        <f t="array" ref="Q199">_xlfn.IFS(
    K199&lt;&gt;"",K199,
    J199&lt;&gt;"",EDATE(J199,3),
    P199&lt;&gt;"",EDATE(P199,3),
    TRUE,""
)</f>
        <v/>
      </c>
    </row>
    <row r="200" spans="1:17" x14ac:dyDescent="0.3">
      <c r="A200" t="str">
        <f>IF(AND(Projects!A209="", Projects!B209=""), "", IF(Projects!A209="", "Unassigned", Projects!A209))</f>
        <v/>
      </c>
      <c r="B200" t="str">
        <f>IF(Projects!B209&lt;&gt;"",Projects!B209,"")</f>
        <v/>
      </c>
      <c r="C200" t="str">
        <f>IF(AND(Projects!C209="", Projects!B209=""), "", IF(Projects!C209="", "None", Projects!C209))</f>
        <v/>
      </c>
      <c r="D200" t="str">
        <f>IF(AND(Projects!D209="", Projects!B209=""), "", IF(Projects!D209="", "No OpCo", Projects!D209))</f>
        <v/>
      </c>
      <c r="E200" t="str">
        <f>IF(Projects!E209&lt;&gt;"",Projects!E209,"")</f>
        <v/>
      </c>
      <c r="F200" t="str">
        <f>IF(Projects!F209&lt;&gt;"",Projects!F209,"")</f>
        <v/>
      </c>
      <c r="G200" s="45" t="str">
        <f>IF(Projects!G209&lt;&gt;"",Projects!G209,"")</f>
        <v/>
      </c>
      <c r="H200" s="45" t="str">
        <f>IF(Projects!H209&lt;&gt;"",Projects!H209,"")</f>
        <v/>
      </c>
      <c r="I200" s="45" t="str">
        <f>IF(Projects!I209&lt;&gt;"",Projects!I209,"")</f>
        <v/>
      </c>
      <c r="J200" s="45" t="str">
        <f>IF(Projects!J209&lt;&gt;"",Projects!J209,"")</f>
        <v/>
      </c>
      <c r="K200" s="45" t="str">
        <f>IF(Projects!K209&lt;&gt;"",Projects!K209,"")</f>
        <v/>
      </c>
      <c r="L200" t="str">
        <f>IF(AND(Projects!E209&lt;&gt;"", Projects!F209&lt;&gt;""),
INDEX('Duration Table'!$D$7:$H$17,MATCH(Projects!E209,'Duration Table'!$C$7:$C$17,0),MATCH(Projects!F209,'Duration Table'!$D$6:$H$6)),
   ""
)</f>
        <v/>
      </c>
      <c r="M200" s="45" t="str" cm="1">
        <f t="array" ref="M200">_xlfn.IFS(
    G200&lt;&gt;"",G200,
    H200&lt;&gt;"",EDATE(H200,-0.25*L200),
    N200&lt;&gt;"",EDATE(N200,-0.25*L200),
    TRUE,""
)</f>
        <v/>
      </c>
      <c r="N200" s="45" t="str" cm="1">
        <f t="array" ref="N200">_xlfn.IFS(
    H200&lt;&gt;"", H200,
    COUNT(G200,I200)=2, (G200 + (DATEDIF(G200,I200,"d")*0.5)),
    COUNT(G200,J200)=2, (G200 + (DATEDIF(G200,J200,"d")*0.25)),
    COUNT(G200,K200)=2, (G200 + ((DATEDIF(G200,K200,"d")-90)*0.25)),
    COUNT(I200,J200)=2, (I200 -(DATEDIF(I200,J200,"d")*0.5)),
    COUNT(I200,K200)=2, (I200 -((DATEDIF(I200,K200,"d")-90)*0.5)),
    G200&lt;&gt;"", EDATE(G200, + L200*0.25),
    I200&lt;&gt;"", EDATE(I200, - L200*0.25),
    J200&lt;&gt;"", EDATE(J200, - L200*0.75),
    K200&lt;&gt;"", EDATE(K200, -((L200*0.75)+3)),
    TRUE, ""
)</f>
        <v/>
      </c>
      <c r="O200" s="45" t="str" cm="1">
        <f t="array" ref="O200">_xlfn.IFS(
    I200&lt;&gt;"", I200,
    COUNT(H200,J200)=2, (H200 + (DATEDIF(H200,J200,"d")*0.33)),
    COUNT(H200,K200)=2, (H200 + ((DATEDIF(H200,K200,"d")-90)*0.33)),
    COUNT(G200,J200)=2, (G200 +  DATEDIF(G200,J200,"d")*0.5),
    COUNT(G200,K200)=2, (G200 + (DATEDIF(G200,K200,"d")-90)*0.5),
    G200&lt;&gt;"", EDATE(G200, + L200*0.5),
    H200&lt;&gt;"", EDATE(H200, + L200*0.25),
    J200&lt;&gt;"", EDATE(J200, - L200*0.5),
    K200&lt;&gt;"", EDATE(K200, -((L200*0.5)+3)),
    TRUE, ""
)</f>
        <v/>
      </c>
      <c r="P200" s="45" t="str" cm="1">
        <f t="array" ref="P200">_xlfn.IFS(
    J200&lt;&gt;"", J200,
    K200&lt;&gt;"", EDATE(K200, -3),
    G200&lt;&gt;"", EDATE(G200, + L200),
    H200&lt;&gt;"", EDATE(H200, + L200*0.75),
    I200&lt;&gt;"", EDATE(I200, H L200*0.5),
    TRUE, ""
)</f>
        <v/>
      </c>
      <c r="Q200" s="45" t="str" cm="1">
        <f t="array" ref="Q200">_xlfn.IFS(
    K200&lt;&gt;"",K200,
    J200&lt;&gt;"",EDATE(J200,3),
    P200&lt;&gt;"",EDATE(P200,3),
    TRUE,""
)</f>
        <v/>
      </c>
    </row>
    <row r="201" spans="1:17" x14ac:dyDescent="0.3">
      <c r="A201" t="str">
        <f>IF(AND(Projects!A210="", Projects!B210=""), "", IF(Projects!A210="", "Unassigned", Projects!A210))</f>
        <v/>
      </c>
      <c r="B201" t="str">
        <f>IF(Projects!B210&lt;&gt;"",Projects!B210,"")</f>
        <v/>
      </c>
      <c r="C201" t="str">
        <f>IF(AND(Projects!C210="", Projects!B210=""), "", IF(Projects!C210="", "None", Projects!C210))</f>
        <v/>
      </c>
      <c r="D201" t="str">
        <f>IF(AND(Projects!D210="", Projects!B210=""), "", IF(Projects!D210="", "No OpCo", Projects!D210))</f>
        <v/>
      </c>
      <c r="E201" t="str">
        <f>IF(Projects!E210&lt;&gt;"",Projects!E210,"")</f>
        <v/>
      </c>
      <c r="F201" t="str">
        <f>IF(Projects!F210&lt;&gt;"",Projects!F210,"")</f>
        <v/>
      </c>
      <c r="G201" s="45" t="str">
        <f>IF(Projects!G210&lt;&gt;"",Projects!G210,"")</f>
        <v/>
      </c>
      <c r="H201" s="45" t="str">
        <f>IF(Projects!H210&lt;&gt;"",Projects!H210,"")</f>
        <v/>
      </c>
      <c r="I201" s="45" t="str">
        <f>IF(Projects!I210&lt;&gt;"",Projects!I210,"")</f>
        <v/>
      </c>
      <c r="J201" s="45" t="str">
        <f>IF(Projects!J210&lt;&gt;"",Projects!J210,"")</f>
        <v/>
      </c>
      <c r="K201" s="45" t="str">
        <f>IF(Projects!K210&lt;&gt;"",Projects!K210,"")</f>
        <v/>
      </c>
      <c r="L201" t="str">
        <f>IF(AND(Projects!E210&lt;&gt;"", Projects!F210&lt;&gt;""),
INDEX('Duration Table'!$D$7:$H$17,MATCH(Projects!E210,'Duration Table'!$C$7:$C$17,0),MATCH(Projects!F210,'Duration Table'!$D$6:$H$6)),
   ""
)</f>
        <v/>
      </c>
      <c r="M201" s="45" t="str" cm="1">
        <f t="array" ref="M201">_xlfn.IFS(
    G201&lt;&gt;"",G201,
    H201&lt;&gt;"",EDATE(H201,-0.25*L201),
    N201&lt;&gt;"",EDATE(N201,-0.25*L201),
    TRUE,""
)</f>
        <v/>
      </c>
      <c r="N201" s="45" t="str" cm="1">
        <f t="array" ref="N201">_xlfn.IFS(
    H201&lt;&gt;"", H201,
    COUNT(G201,I201)=2, (G201 + (DATEDIF(G201,I201,"d")*0.5)),
    COUNT(G201,J201)=2, (G201 + (DATEDIF(G201,J201,"d")*0.25)),
    COUNT(G201,K201)=2, (G201 + ((DATEDIF(G201,K201,"d")-90)*0.25)),
    COUNT(I201,J201)=2, (I201 -(DATEDIF(I201,J201,"d")*0.5)),
    COUNT(I201,K201)=2, (I201 -((DATEDIF(I201,K201,"d")-90)*0.5)),
    G201&lt;&gt;"", EDATE(G201, + L201*0.25),
    I201&lt;&gt;"", EDATE(I201, - L201*0.25),
    J201&lt;&gt;"", EDATE(J201, - L201*0.75),
    K201&lt;&gt;"", EDATE(K201, -((L201*0.75)+3)),
    TRUE, ""
)</f>
        <v/>
      </c>
      <c r="O201" s="45" t="str" cm="1">
        <f t="array" ref="O201">_xlfn.IFS(
    I201&lt;&gt;"", I201,
    COUNT(H201,J201)=2, (H201 + (DATEDIF(H201,J201,"d")*0.33)),
    COUNT(H201,K201)=2, (H201 + ((DATEDIF(H201,K201,"d")-90)*0.33)),
    COUNT(G201,J201)=2, (G201 +  DATEDIF(G201,J201,"d")*0.5),
    COUNT(G201,K201)=2, (G201 + (DATEDIF(G201,K201,"d")-90)*0.5),
    G201&lt;&gt;"", EDATE(G201, + L201*0.5),
    H201&lt;&gt;"", EDATE(H201, + L201*0.25),
    J201&lt;&gt;"", EDATE(J201, - L201*0.5),
    K201&lt;&gt;"", EDATE(K201, -((L201*0.5)+3)),
    TRUE, ""
)</f>
        <v/>
      </c>
      <c r="P201" s="45" t="str" cm="1">
        <f t="array" ref="P201">_xlfn.IFS(
    J201&lt;&gt;"", J201,
    K201&lt;&gt;"", EDATE(K201, -3),
    G201&lt;&gt;"", EDATE(G201, + L201),
    H201&lt;&gt;"", EDATE(H201, + L201*0.75),
    I201&lt;&gt;"", EDATE(I201, H L201*0.5),
    TRUE, ""
)</f>
        <v/>
      </c>
      <c r="Q201" s="45" t="str" cm="1">
        <f t="array" ref="Q201">_xlfn.IFS(
    K201&lt;&gt;"",K201,
    J201&lt;&gt;"",EDATE(J201,3),
    P201&lt;&gt;"",EDATE(P201,3),
    TRUE,""
)</f>
        <v/>
      </c>
    </row>
    <row r="202" spans="1:17" x14ac:dyDescent="0.3">
      <c r="A202" t="str">
        <f>IF(AND(Projects!A211="", Projects!B211=""), "", IF(Projects!A211="", "Unassigned", Projects!A211))</f>
        <v/>
      </c>
      <c r="B202" t="str">
        <f>IF(Projects!B211&lt;&gt;"",Projects!B211,"")</f>
        <v/>
      </c>
      <c r="C202" t="str">
        <f>IF(AND(Projects!C211="", Projects!B211=""), "", IF(Projects!C211="", "None", Projects!C211))</f>
        <v/>
      </c>
      <c r="D202" t="str">
        <f>IF(AND(Projects!D211="", Projects!B211=""), "", IF(Projects!D211="", "No OpCo", Projects!D211))</f>
        <v/>
      </c>
      <c r="E202" t="str">
        <f>IF(Projects!E211&lt;&gt;"",Projects!E211,"")</f>
        <v/>
      </c>
      <c r="F202" t="str">
        <f>IF(Projects!F211&lt;&gt;"",Projects!F211,"")</f>
        <v/>
      </c>
      <c r="G202" s="45" t="str">
        <f>IF(Projects!G211&lt;&gt;"",Projects!G211,"")</f>
        <v/>
      </c>
      <c r="H202" s="45" t="str">
        <f>IF(Projects!H211&lt;&gt;"",Projects!H211,"")</f>
        <v/>
      </c>
      <c r="I202" s="45" t="str">
        <f>IF(Projects!I211&lt;&gt;"",Projects!I211,"")</f>
        <v/>
      </c>
      <c r="J202" s="45" t="str">
        <f>IF(Projects!J211&lt;&gt;"",Projects!J211,"")</f>
        <v/>
      </c>
      <c r="K202" s="45" t="str">
        <f>IF(Projects!K211&lt;&gt;"",Projects!K211,"")</f>
        <v/>
      </c>
      <c r="L202" t="str">
        <f>IF(AND(Projects!E211&lt;&gt;"", Projects!F211&lt;&gt;""),
INDEX('Duration Table'!$D$7:$H$17,MATCH(Projects!E211,'Duration Table'!$C$7:$C$17,0),MATCH(Projects!F211,'Duration Table'!$D$6:$H$6)),
   ""
)</f>
        <v/>
      </c>
      <c r="M202" s="45" t="str" cm="1">
        <f t="array" ref="M202">_xlfn.IFS(
    G202&lt;&gt;"",G202,
    H202&lt;&gt;"",EDATE(H202,-0.25*L202),
    N202&lt;&gt;"",EDATE(N202,-0.25*L202),
    TRUE,""
)</f>
        <v/>
      </c>
      <c r="N202" s="45" t="str" cm="1">
        <f t="array" ref="N202">_xlfn.IFS(
    H202&lt;&gt;"", H202,
    COUNT(G202,I202)=2, (G202 + (DATEDIF(G202,I202,"d")*0.5)),
    COUNT(G202,J202)=2, (G202 + (DATEDIF(G202,J202,"d")*0.25)),
    COUNT(G202,K202)=2, (G202 + ((DATEDIF(G202,K202,"d")-90)*0.25)),
    COUNT(I202,J202)=2, (I202 -(DATEDIF(I202,J202,"d")*0.5)),
    COUNT(I202,K202)=2, (I202 -((DATEDIF(I202,K202,"d")-90)*0.5)),
    G202&lt;&gt;"", EDATE(G202, + L202*0.25),
    I202&lt;&gt;"", EDATE(I202, - L202*0.25),
    J202&lt;&gt;"", EDATE(J202, - L202*0.75),
    K202&lt;&gt;"", EDATE(K202, -((L202*0.75)+3)),
    TRUE, ""
)</f>
        <v/>
      </c>
      <c r="O202" s="45" t="str" cm="1">
        <f t="array" ref="O202">_xlfn.IFS(
    I202&lt;&gt;"", I202,
    COUNT(H202,J202)=2, (H202 + (DATEDIF(H202,J202,"d")*0.33)),
    COUNT(H202,K202)=2, (H202 + ((DATEDIF(H202,K202,"d")-90)*0.33)),
    COUNT(G202,J202)=2, (G202 +  DATEDIF(G202,J202,"d")*0.5),
    COUNT(G202,K202)=2, (G202 + (DATEDIF(G202,K202,"d")-90)*0.5),
    G202&lt;&gt;"", EDATE(G202, + L202*0.5),
    H202&lt;&gt;"", EDATE(H202, + L202*0.25),
    J202&lt;&gt;"", EDATE(J202, - L202*0.5),
    K202&lt;&gt;"", EDATE(K202, -((L202*0.5)+3)),
    TRUE, ""
)</f>
        <v/>
      </c>
      <c r="P202" s="45" t="str" cm="1">
        <f t="array" ref="P202">_xlfn.IFS(
    J202&lt;&gt;"", J202,
    K202&lt;&gt;"", EDATE(K202, -3),
    G202&lt;&gt;"", EDATE(G202, + L202),
    H202&lt;&gt;"", EDATE(H202, + L202*0.75),
    I202&lt;&gt;"", EDATE(I202, H L202*0.5),
    TRUE, ""
)</f>
        <v/>
      </c>
      <c r="Q202" s="45" t="str" cm="1">
        <f t="array" ref="Q202">_xlfn.IFS(
    K202&lt;&gt;"",K202,
    J202&lt;&gt;"",EDATE(J202,3),
    P202&lt;&gt;"",EDATE(P202,3),
    TRUE,""
)</f>
        <v/>
      </c>
    </row>
    <row r="203" spans="1:17" x14ac:dyDescent="0.3">
      <c r="A203" t="str">
        <f>IF(AND(Projects!A212="", Projects!B212=""), "", IF(Projects!A212="", "Unassigned", Projects!A212))</f>
        <v/>
      </c>
      <c r="B203" t="str">
        <f>IF(Projects!B212&lt;&gt;"",Projects!B212,"")</f>
        <v/>
      </c>
      <c r="C203" t="str">
        <f>IF(AND(Projects!C212="", Projects!B212=""), "", IF(Projects!C212="", "None", Projects!C212))</f>
        <v/>
      </c>
      <c r="D203" t="str">
        <f>IF(AND(Projects!D212="", Projects!B212=""), "", IF(Projects!D212="", "No OpCo", Projects!D212))</f>
        <v/>
      </c>
      <c r="E203" t="str">
        <f>IF(Projects!E212&lt;&gt;"",Projects!E212,"")</f>
        <v/>
      </c>
      <c r="F203" t="str">
        <f>IF(Projects!F212&lt;&gt;"",Projects!F212,"")</f>
        <v/>
      </c>
      <c r="G203" s="45" t="str">
        <f>IF(Projects!G212&lt;&gt;"",Projects!G212,"")</f>
        <v/>
      </c>
      <c r="H203" s="45" t="str">
        <f>IF(Projects!H212&lt;&gt;"",Projects!H212,"")</f>
        <v/>
      </c>
      <c r="I203" s="45" t="str">
        <f>IF(Projects!I212&lt;&gt;"",Projects!I212,"")</f>
        <v/>
      </c>
      <c r="J203" s="45" t="str">
        <f>IF(Projects!J212&lt;&gt;"",Projects!J212,"")</f>
        <v/>
      </c>
      <c r="K203" s="45" t="str">
        <f>IF(Projects!K212&lt;&gt;"",Projects!K212,"")</f>
        <v/>
      </c>
      <c r="L203" t="str">
        <f>IF(AND(Projects!E212&lt;&gt;"", Projects!F212&lt;&gt;""),
INDEX('Duration Table'!$D$7:$H$17,MATCH(Projects!E212,'Duration Table'!$C$7:$C$17,0),MATCH(Projects!F212,'Duration Table'!$D$6:$H$6)),
   ""
)</f>
        <v/>
      </c>
      <c r="M203" s="45" t="str" cm="1">
        <f t="array" ref="M203">_xlfn.IFS(
    G203&lt;&gt;"",G203,
    H203&lt;&gt;"",EDATE(H203,-0.25*L203),
    N203&lt;&gt;"",EDATE(N203,-0.25*L203),
    TRUE,""
)</f>
        <v/>
      </c>
      <c r="N203" s="45" t="str" cm="1">
        <f t="array" ref="N203">_xlfn.IFS(
    H203&lt;&gt;"", H203,
    COUNT(G203,I203)=2, (G203 + (DATEDIF(G203,I203,"d")*0.5)),
    COUNT(G203,J203)=2, (G203 + (DATEDIF(G203,J203,"d")*0.25)),
    COUNT(G203,K203)=2, (G203 + ((DATEDIF(G203,K203,"d")-90)*0.25)),
    COUNT(I203,J203)=2, (I203 -(DATEDIF(I203,J203,"d")*0.5)),
    COUNT(I203,K203)=2, (I203 -((DATEDIF(I203,K203,"d")-90)*0.5)),
    G203&lt;&gt;"", EDATE(G203, + L203*0.25),
    I203&lt;&gt;"", EDATE(I203, - L203*0.25),
    J203&lt;&gt;"", EDATE(J203, - L203*0.75),
    K203&lt;&gt;"", EDATE(K203, -((L203*0.75)+3)),
    TRUE, ""
)</f>
        <v/>
      </c>
      <c r="O203" s="45" t="str" cm="1">
        <f t="array" ref="O203">_xlfn.IFS(
    I203&lt;&gt;"", I203,
    COUNT(H203,J203)=2, (H203 + (DATEDIF(H203,J203,"d")*0.33)),
    COUNT(H203,K203)=2, (H203 + ((DATEDIF(H203,K203,"d")-90)*0.33)),
    COUNT(G203,J203)=2, (G203 +  DATEDIF(G203,J203,"d")*0.5),
    COUNT(G203,K203)=2, (G203 + (DATEDIF(G203,K203,"d")-90)*0.5),
    G203&lt;&gt;"", EDATE(G203, + L203*0.5),
    H203&lt;&gt;"", EDATE(H203, + L203*0.25),
    J203&lt;&gt;"", EDATE(J203, - L203*0.5),
    K203&lt;&gt;"", EDATE(K203, -((L203*0.5)+3)),
    TRUE, ""
)</f>
        <v/>
      </c>
      <c r="P203" s="45" t="str" cm="1">
        <f t="array" ref="P203">_xlfn.IFS(
    J203&lt;&gt;"", J203,
    K203&lt;&gt;"", EDATE(K203, -3),
    G203&lt;&gt;"", EDATE(G203, + L203),
    H203&lt;&gt;"", EDATE(H203, + L203*0.75),
    I203&lt;&gt;"", EDATE(I203, H L203*0.5),
    TRUE, ""
)</f>
        <v/>
      </c>
      <c r="Q203" s="45" t="str" cm="1">
        <f t="array" ref="Q203">_xlfn.IFS(
    K203&lt;&gt;"",K203,
    J203&lt;&gt;"",EDATE(J203,3),
    P203&lt;&gt;"",EDATE(P203,3),
    TRUE,""
)</f>
        <v/>
      </c>
    </row>
    <row r="204" spans="1:17" x14ac:dyDescent="0.3">
      <c r="A204" t="str">
        <f>IF(AND(Projects!A213="", Projects!B213=""), "", IF(Projects!A213="", "Unassigned", Projects!A213))</f>
        <v/>
      </c>
      <c r="B204" t="str">
        <f>IF(Projects!B213&lt;&gt;"",Projects!B213,"")</f>
        <v/>
      </c>
      <c r="C204" t="str">
        <f>IF(AND(Projects!C213="", Projects!B213=""), "", IF(Projects!C213="", "None", Projects!C213))</f>
        <v/>
      </c>
      <c r="D204" t="str">
        <f>IF(AND(Projects!D213="", Projects!B213=""), "", IF(Projects!D213="", "No OpCo", Projects!D213))</f>
        <v/>
      </c>
      <c r="E204" t="str">
        <f>IF(Projects!E213&lt;&gt;"",Projects!E213,"")</f>
        <v/>
      </c>
      <c r="F204" t="str">
        <f>IF(Projects!F213&lt;&gt;"",Projects!F213,"")</f>
        <v/>
      </c>
      <c r="G204" s="45" t="str">
        <f>IF(Projects!G213&lt;&gt;"",Projects!G213,"")</f>
        <v/>
      </c>
      <c r="H204" s="45" t="str">
        <f>IF(Projects!H213&lt;&gt;"",Projects!H213,"")</f>
        <v/>
      </c>
      <c r="I204" s="45" t="str">
        <f>IF(Projects!I213&lt;&gt;"",Projects!I213,"")</f>
        <v/>
      </c>
      <c r="J204" s="45" t="str">
        <f>IF(Projects!J213&lt;&gt;"",Projects!J213,"")</f>
        <v/>
      </c>
      <c r="K204" s="45" t="str">
        <f>IF(Projects!K213&lt;&gt;"",Projects!K213,"")</f>
        <v/>
      </c>
      <c r="L204" t="str">
        <f>IF(AND(Projects!E213&lt;&gt;"", Projects!F213&lt;&gt;""),
INDEX('Duration Table'!$D$7:$H$17,MATCH(Projects!E213,'Duration Table'!$C$7:$C$17,0),MATCH(Projects!F213,'Duration Table'!$D$6:$H$6)),
   ""
)</f>
        <v/>
      </c>
      <c r="M204" s="45" t="str" cm="1">
        <f t="array" ref="M204">_xlfn.IFS(
    G204&lt;&gt;"",G204,
    H204&lt;&gt;"",EDATE(H204,-0.25*L204),
    N204&lt;&gt;"",EDATE(N204,-0.25*L204),
    TRUE,""
)</f>
        <v/>
      </c>
      <c r="N204" s="45" t="str" cm="1">
        <f t="array" ref="N204">_xlfn.IFS(
    H204&lt;&gt;"", H204,
    COUNT(G204,I204)=2, (G204 + (DATEDIF(G204,I204,"d")*0.5)),
    COUNT(G204,J204)=2, (G204 + (DATEDIF(G204,J204,"d")*0.25)),
    COUNT(G204,K204)=2, (G204 + ((DATEDIF(G204,K204,"d")-90)*0.25)),
    COUNT(I204,J204)=2, (I204 -(DATEDIF(I204,J204,"d")*0.5)),
    COUNT(I204,K204)=2, (I204 -((DATEDIF(I204,K204,"d")-90)*0.5)),
    G204&lt;&gt;"", EDATE(G204, + L204*0.25),
    I204&lt;&gt;"", EDATE(I204, - L204*0.25),
    J204&lt;&gt;"", EDATE(J204, - L204*0.75),
    K204&lt;&gt;"", EDATE(K204, -((L204*0.75)+3)),
    TRUE, ""
)</f>
        <v/>
      </c>
      <c r="O204" s="45" t="str" cm="1">
        <f t="array" ref="O204">_xlfn.IFS(
    I204&lt;&gt;"", I204,
    COUNT(H204,J204)=2, (H204 + (DATEDIF(H204,J204,"d")*0.33)),
    COUNT(H204,K204)=2, (H204 + ((DATEDIF(H204,K204,"d")-90)*0.33)),
    COUNT(G204,J204)=2, (G204 +  DATEDIF(G204,J204,"d")*0.5),
    COUNT(G204,K204)=2, (G204 + (DATEDIF(G204,K204,"d")-90)*0.5),
    G204&lt;&gt;"", EDATE(G204, + L204*0.5),
    H204&lt;&gt;"", EDATE(H204, + L204*0.25),
    J204&lt;&gt;"", EDATE(J204, - L204*0.5),
    K204&lt;&gt;"", EDATE(K204, -((L204*0.5)+3)),
    TRUE, ""
)</f>
        <v/>
      </c>
      <c r="P204" s="45" t="str" cm="1">
        <f t="array" ref="P204">_xlfn.IFS(
    J204&lt;&gt;"", J204,
    K204&lt;&gt;"", EDATE(K204, -3),
    G204&lt;&gt;"", EDATE(G204, + L204),
    H204&lt;&gt;"", EDATE(H204, + L204*0.75),
    I204&lt;&gt;"", EDATE(I204, H L204*0.5),
    TRUE, ""
)</f>
        <v/>
      </c>
      <c r="Q204" s="45" t="str" cm="1">
        <f t="array" ref="Q204">_xlfn.IFS(
    K204&lt;&gt;"",K204,
    J204&lt;&gt;"",EDATE(J204,3),
    P204&lt;&gt;"",EDATE(P204,3),
    TRUE,""
)</f>
        <v/>
      </c>
    </row>
    <row r="205" spans="1:17" x14ac:dyDescent="0.3">
      <c r="A205" t="str">
        <f>IF(AND(Projects!A214="", Projects!B214=""), "", IF(Projects!A214="", "Unassigned", Projects!A214))</f>
        <v/>
      </c>
      <c r="B205" t="str">
        <f>IF(Projects!B214&lt;&gt;"",Projects!B214,"")</f>
        <v/>
      </c>
      <c r="C205" t="str">
        <f>IF(AND(Projects!C214="", Projects!B214=""), "", IF(Projects!C214="", "None", Projects!C214))</f>
        <v/>
      </c>
      <c r="D205" t="str">
        <f>IF(AND(Projects!D214="", Projects!B214=""), "", IF(Projects!D214="", "No OpCo", Projects!D214))</f>
        <v/>
      </c>
      <c r="E205" t="str">
        <f>IF(Projects!E214&lt;&gt;"",Projects!E214,"")</f>
        <v/>
      </c>
      <c r="F205" t="str">
        <f>IF(Projects!F214&lt;&gt;"",Projects!F214,"")</f>
        <v/>
      </c>
      <c r="G205" s="45" t="str">
        <f>IF(Projects!G214&lt;&gt;"",Projects!G214,"")</f>
        <v/>
      </c>
      <c r="H205" s="45" t="str">
        <f>IF(Projects!H214&lt;&gt;"",Projects!H214,"")</f>
        <v/>
      </c>
      <c r="I205" s="45" t="str">
        <f>IF(Projects!I214&lt;&gt;"",Projects!I214,"")</f>
        <v/>
      </c>
      <c r="J205" s="45" t="str">
        <f>IF(Projects!J214&lt;&gt;"",Projects!J214,"")</f>
        <v/>
      </c>
      <c r="K205" s="45" t="str">
        <f>IF(Projects!K214&lt;&gt;"",Projects!K214,"")</f>
        <v/>
      </c>
      <c r="L205" t="str">
        <f>IF(AND(Projects!E214&lt;&gt;"", Projects!F214&lt;&gt;""),
INDEX('Duration Table'!$D$7:$H$17,MATCH(Projects!E214,'Duration Table'!$C$7:$C$17,0),MATCH(Projects!F214,'Duration Table'!$D$6:$H$6)),
   ""
)</f>
        <v/>
      </c>
      <c r="M205" s="45" t="str" cm="1">
        <f t="array" ref="M205">_xlfn.IFS(
    G205&lt;&gt;"",G205,
    H205&lt;&gt;"",EDATE(H205,-0.25*L205),
    N205&lt;&gt;"",EDATE(N205,-0.25*L205),
    TRUE,""
)</f>
        <v/>
      </c>
      <c r="N205" s="45" t="str" cm="1">
        <f t="array" ref="N205">_xlfn.IFS(
    H205&lt;&gt;"", H205,
    COUNT(G205,I205)=2, (G205 + (DATEDIF(G205,I205,"d")*0.5)),
    COUNT(G205,J205)=2, (G205 + (DATEDIF(G205,J205,"d")*0.25)),
    COUNT(G205,K205)=2, (G205 + ((DATEDIF(G205,K205,"d")-90)*0.25)),
    COUNT(I205,J205)=2, (I205 -(DATEDIF(I205,J205,"d")*0.5)),
    COUNT(I205,K205)=2, (I205 -((DATEDIF(I205,K205,"d")-90)*0.5)),
    G205&lt;&gt;"", EDATE(G205, + L205*0.25),
    I205&lt;&gt;"", EDATE(I205, - L205*0.25),
    J205&lt;&gt;"", EDATE(J205, - L205*0.75),
    K205&lt;&gt;"", EDATE(K205, -((L205*0.75)+3)),
    TRUE, ""
)</f>
        <v/>
      </c>
      <c r="O205" s="45" t="str" cm="1">
        <f t="array" ref="O205">_xlfn.IFS(
    I205&lt;&gt;"", I205,
    COUNT(H205,J205)=2, (H205 + (DATEDIF(H205,J205,"d")*0.33)),
    COUNT(H205,K205)=2, (H205 + ((DATEDIF(H205,K205,"d")-90)*0.33)),
    COUNT(G205,J205)=2, (G205 +  DATEDIF(G205,J205,"d")*0.5),
    COUNT(G205,K205)=2, (G205 + (DATEDIF(G205,K205,"d")-90)*0.5),
    G205&lt;&gt;"", EDATE(G205, + L205*0.5),
    H205&lt;&gt;"", EDATE(H205, + L205*0.25),
    J205&lt;&gt;"", EDATE(J205, - L205*0.5),
    K205&lt;&gt;"", EDATE(K205, -((L205*0.5)+3)),
    TRUE, ""
)</f>
        <v/>
      </c>
      <c r="P205" s="45" t="str" cm="1">
        <f t="array" ref="P205">_xlfn.IFS(
    J205&lt;&gt;"", J205,
    K205&lt;&gt;"", EDATE(K205, -3),
    G205&lt;&gt;"", EDATE(G205, + L205),
    H205&lt;&gt;"", EDATE(H205, + L205*0.75),
    I205&lt;&gt;"", EDATE(I205, H L205*0.5),
    TRUE, ""
)</f>
        <v/>
      </c>
      <c r="Q205" s="45" t="str" cm="1">
        <f t="array" ref="Q205">_xlfn.IFS(
    K205&lt;&gt;"",K205,
    J205&lt;&gt;"",EDATE(J205,3),
    P205&lt;&gt;"",EDATE(P205,3),
    TRUE,""
)</f>
        <v/>
      </c>
    </row>
    <row r="206" spans="1:17" x14ac:dyDescent="0.3">
      <c r="A206" t="str">
        <f>IF(AND(Projects!A215="", Projects!B215=""), "", IF(Projects!A215="", "Unassigned", Projects!A215))</f>
        <v/>
      </c>
      <c r="B206" t="str">
        <f>IF(Projects!B215&lt;&gt;"",Projects!B215,"")</f>
        <v/>
      </c>
      <c r="C206" t="str">
        <f>IF(AND(Projects!C215="", Projects!B215=""), "", IF(Projects!C215="", "None", Projects!C215))</f>
        <v/>
      </c>
      <c r="D206" t="str">
        <f>IF(AND(Projects!D215="", Projects!B215=""), "", IF(Projects!D215="", "No OpCo", Projects!D215))</f>
        <v/>
      </c>
      <c r="E206" t="str">
        <f>IF(Projects!E215&lt;&gt;"",Projects!E215,"")</f>
        <v/>
      </c>
      <c r="F206" t="str">
        <f>IF(Projects!F215&lt;&gt;"",Projects!F215,"")</f>
        <v/>
      </c>
      <c r="G206" s="45" t="str">
        <f>IF(Projects!G215&lt;&gt;"",Projects!G215,"")</f>
        <v/>
      </c>
      <c r="H206" s="45" t="str">
        <f>IF(Projects!H215&lt;&gt;"",Projects!H215,"")</f>
        <v/>
      </c>
      <c r="I206" s="45" t="str">
        <f>IF(Projects!I215&lt;&gt;"",Projects!I215,"")</f>
        <v/>
      </c>
      <c r="J206" s="45" t="str">
        <f>IF(Projects!J215&lt;&gt;"",Projects!J215,"")</f>
        <v/>
      </c>
      <c r="K206" s="45" t="str">
        <f>IF(Projects!K215&lt;&gt;"",Projects!K215,"")</f>
        <v/>
      </c>
      <c r="L206" t="str">
        <f>IF(AND(Projects!E215&lt;&gt;"", Projects!F215&lt;&gt;""),
INDEX('Duration Table'!$D$7:$H$17,MATCH(Projects!E215,'Duration Table'!$C$7:$C$17,0),MATCH(Projects!F215,'Duration Table'!$D$6:$H$6)),
   ""
)</f>
        <v/>
      </c>
      <c r="M206" s="45" t="str" cm="1">
        <f t="array" ref="M206">_xlfn.IFS(
    G206&lt;&gt;"",G206,
    H206&lt;&gt;"",EDATE(H206,-0.25*L206),
    N206&lt;&gt;"",EDATE(N206,-0.25*L206),
    TRUE,""
)</f>
        <v/>
      </c>
      <c r="N206" s="45" t="str" cm="1">
        <f t="array" ref="N206">_xlfn.IFS(
    H206&lt;&gt;"", H206,
    COUNT(G206,I206)=2, (G206 + (DATEDIF(G206,I206,"d")*0.5)),
    COUNT(G206,J206)=2, (G206 + (DATEDIF(G206,J206,"d")*0.25)),
    COUNT(G206,K206)=2, (G206 + ((DATEDIF(G206,K206,"d")-90)*0.25)),
    COUNT(I206,J206)=2, (I206 -(DATEDIF(I206,J206,"d")*0.5)),
    COUNT(I206,K206)=2, (I206 -((DATEDIF(I206,K206,"d")-90)*0.5)),
    G206&lt;&gt;"", EDATE(G206, + L206*0.25),
    I206&lt;&gt;"", EDATE(I206, - L206*0.25),
    J206&lt;&gt;"", EDATE(J206, - L206*0.75),
    K206&lt;&gt;"", EDATE(K206, -((L206*0.75)+3)),
    TRUE, ""
)</f>
        <v/>
      </c>
      <c r="O206" s="45" t="str" cm="1">
        <f t="array" ref="O206">_xlfn.IFS(
    I206&lt;&gt;"", I206,
    COUNT(H206,J206)=2, (H206 + (DATEDIF(H206,J206,"d")*0.33)),
    COUNT(H206,K206)=2, (H206 + ((DATEDIF(H206,K206,"d")-90)*0.33)),
    COUNT(G206,J206)=2, (G206 +  DATEDIF(G206,J206,"d")*0.5),
    COUNT(G206,K206)=2, (G206 + (DATEDIF(G206,K206,"d")-90)*0.5),
    G206&lt;&gt;"", EDATE(G206, + L206*0.5),
    H206&lt;&gt;"", EDATE(H206, + L206*0.25),
    J206&lt;&gt;"", EDATE(J206, - L206*0.5),
    K206&lt;&gt;"", EDATE(K206, -((L206*0.5)+3)),
    TRUE, ""
)</f>
        <v/>
      </c>
      <c r="P206" s="45" t="str" cm="1">
        <f t="array" ref="P206">_xlfn.IFS(
    J206&lt;&gt;"", J206,
    K206&lt;&gt;"", EDATE(K206, -3),
    G206&lt;&gt;"", EDATE(G206, + L206),
    H206&lt;&gt;"", EDATE(H206, + L206*0.75),
    I206&lt;&gt;"", EDATE(I206, H L206*0.5),
    TRUE, ""
)</f>
        <v/>
      </c>
      <c r="Q206" s="45" t="str" cm="1">
        <f t="array" ref="Q206">_xlfn.IFS(
    K206&lt;&gt;"",K206,
    J206&lt;&gt;"",EDATE(J206,3),
    P206&lt;&gt;"",EDATE(P206,3),
    TRUE,""
)</f>
        <v/>
      </c>
    </row>
    <row r="207" spans="1:17" x14ac:dyDescent="0.3">
      <c r="A207" t="str">
        <f>IF(AND(Projects!A216="", Projects!B216=""), "", IF(Projects!A216="", "Unassigned", Projects!A216))</f>
        <v/>
      </c>
      <c r="B207" t="str">
        <f>IF(Projects!B216&lt;&gt;"",Projects!B216,"")</f>
        <v/>
      </c>
      <c r="C207" t="str">
        <f>IF(AND(Projects!C216="", Projects!B216=""), "", IF(Projects!C216="", "None", Projects!C216))</f>
        <v/>
      </c>
      <c r="D207" t="str">
        <f>IF(AND(Projects!D216="", Projects!B216=""), "", IF(Projects!D216="", "No OpCo", Projects!D216))</f>
        <v/>
      </c>
      <c r="E207" t="str">
        <f>IF(Projects!E216&lt;&gt;"",Projects!E216,"")</f>
        <v/>
      </c>
      <c r="F207" t="str">
        <f>IF(Projects!F216&lt;&gt;"",Projects!F216,"")</f>
        <v/>
      </c>
      <c r="G207" s="45" t="str">
        <f>IF(Projects!G216&lt;&gt;"",Projects!G216,"")</f>
        <v/>
      </c>
      <c r="H207" s="45" t="str">
        <f>IF(Projects!H216&lt;&gt;"",Projects!H216,"")</f>
        <v/>
      </c>
      <c r="I207" s="45" t="str">
        <f>IF(Projects!I216&lt;&gt;"",Projects!I216,"")</f>
        <v/>
      </c>
      <c r="J207" s="45" t="str">
        <f>IF(Projects!J216&lt;&gt;"",Projects!J216,"")</f>
        <v/>
      </c>
      <c r="K207" s="45" t="str">
        <f>IF(Projects!K216&lt;&gt;"",Projects!K216,"")</f>
        <v/>
      </c>
      <c r="L207" t="str">
        <f>IF(AND(Projects!E216&lt;&gt;"", Projects!F216&lt;&gt;""),
INDEX('Duration Table'!$D$7:$H$17,MATCH(Projects!E216,'Duration Table'!$C$7:$C$17,0),MATCH(Projects!F216,'Duration Table'!$D$6:$H$6)),
   ""
)</f>
        <v/>
      </c>
      <c r="M207" s="45" t="str" cm="1">
        <f t="array" ref="M207">_xlfn.IFS(
    G207&lt;&gt;"",G207,
    H207&lt;&gt;"",EDATE(H207,-0.25*L207),
    N207&lt;&gt;"",EDATE(N207,-0.25*L207),
    TRUE,""
)</f>
        <v/>
      </c>
      <c r="N207" s="45" t="str" cm="1">
        <f t="array" ref="N207">_xlfn.IFS(
    H207&lt;&gt;"", H207,
    COUNT(G207,I207)=2, (G207 + (DATEDIF(G207,I207,"d")*0.5)),
    COUNT(G207,J207)=2, (G207 + (DATEDIF(G207,J207,"d")*0.25)),
    COUNT(G207,K207)=2, (G207 + ((DATEDIF(G207,K207,"d")-90)*0.25)),
    COUNT(I207,J207)=2, (I207 -(DATEDIF(I207,J207,"d")*0.5)),
    COUNT(I207,K207)=2, (I207 -((DATEDIF(I207,K207,"d")-90)*0.5)),
    G207&lt;&gt;"", EDATE(G207, + L207*0.25),
    I207&lt;&gt;"", EDATE(I207, - L207*0.25),
    J207&lt;&gt;"", EDATE(J207, - L207*0.75),
    K207&lt;&gt;"", EDATE(K207, -((L207*0.75)+3)),
    TRUE, ""
)</f>
        <v/>
      </c>
      <c r="O207" s="45" t="str" cm="1">
        <f t="array" ref="O207">_xlfn.IFS(
    I207&lt;&gt;"", I207,
    COUNT(H207,J207)=2, (H207 + (DATEDIF(H207,J207,"d")*0.33)),
    COUNT(H207,K207)=2, (H207 + ((DATEDIF(H207,K207,"d")-90)*0.33)),
    COUNT(G207,J207)=2, (G207 +  DATEDIF(G207,J207,"d")*0.5),
    COUNT(G207,K207)=2, (G207 + (DATEDIF(G207,K207,"d")-90)*0.5),
    G207&lt;&gt;"", EDATE(G207, + L207*0.5),
    H207&lt;&gt;"", EDATE(H207, + L207*0.25),
    J207&lt;&gt;"", EDATE(J207, - L207*0.5),
    K207&lt;&gt;"", EDATE(K207, -((L207*0.5)+3)),
    TRUE, ""
)</f>
        <v/>
      </c>
      <c r="P207" s="45" t="str" cm="1">
        <f t="array" ref="P207">_xlfn.IFS(
    J207&lt;&gt;"", J207,
    K207&lt;&gt;"", EDATE(K207, -3),
    G207&lt;&gt;"", EDATE(G207, + L207),
    H207&lt;&gt;"", EDATE(H207, + L207*0.75),
    I207&lt;&gt;"", EDATE(I207, H L207*0.5),
    TRUE, ""
)</f>
        <v/>
      </c>
      <c r="Q207" s="45" t="str" cm="1">
        <f t="array" ref="Q207">_xlfn.IFS(
    K207&lt;&gt;"",K207,
    J207&lt;&gt;"",EDATE(J207,3),
    P207&lt;&gt;"",EDATE(P207,3),
    TRUE,""
)</f>
        <v/>
      </c>
    </row>
    <row r="208" spans="1:17" x14ac:dyDescent="0.3">
      <c r="A208" t="str">
        <f>IF(AND(Projects!A217="", Projects!B217=""), "", IF(Projects!A217="", "Unassigned", Projects!A217))</f>
        <v/>
      </c>
      <c r="B208" t="str">
        <f>IF(Projects!B217&lt;&gt;"",Projects!B217,"")</f>
        <v/>
      </c>
      <c r="C208" t="str">
        <f>IF(AND(Projects!C217="", Projects!B217=""), "", IF(Projects!C217="", "None", Projects!C217))</f>
        <v/>
      </c>
      <c r="D208" t="str">
        <f>IF(AND(Projects!D217="", Projects!B217=""), "", IF(Projects!D217="", "No OpCo", Projects!D217))</f>
        <v/>
      </c>
      <c r="E208" t="str">
        <f>IF(Projects!E217&lt;&gt;"",Projects!E217,"")</f>
        <v/>
      </c>
      <c r="F208" t="str">
        <f>IF(Projects!F217&lt;&gt;"",Projects!F217,"")</f>
        <v/>
      </c>
      <c r="G208" s="45" t="str">
        <f>IF(Projects!G217&lt;&gt;"",Projects!G217,"")</f>
        <v/>
      </c>
      <c r="H208" s="45" t="str">
        <f>IF(Projects!H217&lt;&gt;"",Projects!H217,"")</f>
        <v/>
      </c>
      <c r="I208" s="45" t="str">
        <f>IF(Projects!I217&lt;&gt;"",Projects!I217,"")</f>
        <v/>
      </c>
      <c r="J208" s="45" t="str">
        <f>IF(Projects!J217&lt;&gt;"",Projects!J217,"")</f>
        <v/>
      </c>
      <c r="K208" s="45" t="str">
        <f>IF(Projects!K217&lt;&gt;"",Projects!K217,"")</f>
        <v/>
      </c>
      <c r="L208" t="str">
        <f>IF(AND(Projects!E217&lt;&gt;"", Projects!F217&lt;&gt;""),
INDEX('Duration Table'!$D$7:$H$17,MATCH(Projects!E217,'Duration Table'!$C$7:$C$17,0),MATCH(Projects!F217,'Duration Table'!$D$6:$H$6)),
   ""
)</f>
        <v/>
      </c>
      <c r="M208" s="45" t="str" cm="1">
        <f t="array" ref="M208">_xlfn.IFS(
    G208&lt;&gt;"",G208,
    H208&lt;&gt;"",EDATE(H208,-0.25*L208),
    N208&lt;&gt;"",EDATE(N208,-0.25*L208),
    TRUE,""
)</f>
        <v/>
      </c>
      <c r="N208" s="45" t="str" cm="1">
        <f t="array" ref="N208">_xlfn.IFS(
    H208&lt;&gt;"", H208,
    COUNT(G208,I208)=2, (G208 + (DATEDIF(G208,I208,"d")*0.5)),
    COUNT(G208,J208)=2, (G208 + (DATEDIF(G208,J208,"d")*0.25)),
    COUNT(G208,K208)=2, (G208 + ((DATEDIF(G208,K208,"d")-90)*0.25)),
    COUNT(I208,J208)=2, (I208 -(DATEDIF(I208,J208,"d")*0.5)),
    COUNT(I208,K208)=2, (I208 -((DATEDIF(I208,K208,"d")-90)*0.5)),
    G208&lt;&gt;"", EDATE(G208, + L208*0.25),
    I208&lt;&gt;"", EDATE(I208, - L208*0.25),
    J208&lt;&gt;"", EDATE(J208, - L208*0.75),
    K208&lt;&gt;"", EDATE(K208, -((L208*0.75)+3)),
    TRUE, ""
)</f>
        <v/>
      </c>
      <c r="O208" s="45" t="str" cm="1">
        <f t="array" ref="O208">_xlfn.IFS(
    I208&lt;&gt;"", I208,
    COUNT(H208,J208)=2, (H208 + (DATEDIF(H208,J208,"d")*0.33)),
    COUNT(H208,K208)=2, (H208 + ((DATEDIF(H208,K208,"d")-90)*0.33)),
    COUNT(G208,J208)=2, (G208 +  DATEDIF(G208,J208,"d")*0.5),
    COUNT(G208,K208)=2, (G208 + (DATEDIF(G208,K208,"d")-90)*0.5),
    G208&lt;&gt;"", EDATE(G208, + L208*0.5),
    H208&lt;&gt;"", EDATE(H208, + L208*0.25),
    J208&lt;&gt;"", EDATE(J208, - L208*0.5),
    K208&lt;&gt;"", EDATE(K208, -((L208*0.5)+3)),
    TRUE, ""
)</f>
        <v/>
      </c>
      <c r="P208" s="45" t="str" cm="1">
        <f t="array" ref="P208">_xlfn.IFS(
    J208&lt;&gt;"", J208,
    K208&lt;&gt;"", EDATE(K208, -3),
    G208&lt;&gt;"", EDATE(G208, + L208),
    H208&lt;&gt;"", EDATE(H208, + L208*0.75),
    I208&lt;&gt;"", EDATE(I208, H L208*0.5),
    TRUE, ""
)</f>
        <v/>
      </c>
      <c r="Q208" s="45" t="str" cm="1">
        <f t="array" ref="Q208">_xlfn.IFS(
    K208&lt;&gt;"",K208,
    J208&lt;&gt;"",EDATE(J208,3),
    P208&lt;&gt;"",EDATE(P208,3),
    TRUE,""
)</f>
        <v/>
      </c>
    </row>
    <row r="209" spans="1:17" x14ac:dyDescent="0.3">
      <c r="A209" t="str">
        <f>IF(AND(Projects!A218="", Projects!B218=""), "", IF(Projects!A218="", "Unassigned", Projects!A218))</f>
        <v/>
      </c>
      <c r="B209" t="str">
        <f>IF(Projects!B218&lt;&gt;"",Projects!B218,"")</f>
        <v/>
      </c>
      <c r="C209" t="str">
        <f>IF(AND(Projects!C218="", Projects!B218=""), "", IF(Projects!C218="", "None", Projects!C218))</f>
        <v/>
      </c>
      <c r="D209" t="str">
        <f>IF(AND(Projects!D218="", Projects!B218=""), "", IF(Projects!D218="", "No OpCo", Projects!D218))</f>
        <v/>
      </c>
      <c r="E209" t="str">
        <f>IF(Projects!E218&lt;&gt;"",Projects!E218,"")</f>
        <v/>
      </c>
      <c r="F209" t="str">
        <f>IF(Projects!F218&lt;&gt;"",Projects!F218,"")</f>
        <v/>
      </c>
      <c r="G209" s="45" t="str">
        <f>IF(Projects!G218&lt;&gt;"",Projects!G218,"")</f>
        <v/>
      </c>
      <c r="H209" s="45" t="str">
        <f>IF(Projects!H218&lt;&gt;"",Projects!H218,"")</f>
        <v/>
      </c>
      <c r="I209" s="45" t="str">
        <f>IF(Projects!I218&lt;&gt;"",Projects!I218,"")</f>
        <v/>
      </c>
      <c r="J209" s="45" t="str">
        <f>IF(Projects!J218&lt;&gt;"",Projects!J218,"")</f>
        <v/>
      </c>
      <c r="K209" s="45" t="str">
        <f>IF(Projects!K218&lt;&gt;"",Projects!K218,"")</f>
        <v/>
      </c>
      <c r="L209" t="str">
        <f>IF(AND(Projects!E218&lt;&gt;"", Projects!F218&lt;&gt;""),
INDEX('Duration Table'!$D$7:$H$17,MATCH(Projects!E218,'Duration Table'!$C$7:$C$17,0),MATCH(Projects!F218,'Duration Table'!$D$6:$H$6)),
   ""
)</f>
        <v/>
      </c>
      <c r="M209" s="45" t="str" cm="1">
        <f t="array" ref="M209">_xlfn.IFS(
    G209&lt;&gt;"",G209,
    H209&lt;&gt;"",EDATE(H209,-0.25*L209),
    N209&lt;&gt;"",EDATE(N209,-0.25*L209),
    TRUE,""
)</f>
        <v/>
      </c>
      <c r="N209" s="45" t="str" cm="1">
        <f t="array" ref="N209">_xlfn.IFS(
    H209&lt;&gt;"", H209,
    COUNT(G209,I209)=2, (G209 + (DATEDIF(G209,I209,"d")*0.5)),
    COUNT(G209,J209)=2, (G209 + (DATEDIF(G209,J209,"d")*0.25)),
    COUNT(G209,K209)=2, (G209 + ((DATEDIF(G209,K209,"d")-90)*0.25)),
    COUNT(I209,J209)=2, (I209 -(DATEDIF(I209,J209,"d")*0.5)),
    COUNT(I209,K209)=2, (I209 -((DATEDIF(I209,K209,"d")-90)*0.5)),
    G209&lt;&gt;"", EDATE(G209, + L209*0.25),
    I209&lt;&gt;"", EDATE(I209, - L209*0.25),
    J209&lt;&gt;"", EDATE(J209, - L209*0.75),
    K209&lt;&gt;"", EDATE(K209, -((L209*0.75)+3)),
    TRUE, ""
)</f>
        <v/>
      </c>
      <c r="O209" s="45" t="str" cm="1">
        <f t="array" ref="O209">_xlfn.IFS(
    I209&lt;&gt;"", I209,
    COUNT(H209,J209)=2, (H209 + (DATEDIF(H209,J209,"d")*0.33)),
    COUNT(H209,K209)=2, (H209 + ((DATEDIF(H209,K209,"d")-90)*0.33)),
    COUNT(G209,J209)=2, (G209 +  DATEDIF(G209,J209,"d")*0.5),
    COUNT(G209,K209)=2, (G209 + (DATEDIF(G209,K209,"d")-90)*0.5),
    G209&lt;&gt;"", EDATE(G209, + L209*0.5),
    H209&lt;&gt;"", EDATE(H209, + L209*0.25),
    J209&lt;&gt;"", EDATE(J209, - L209*0.5),
    K209&lt;&gt;"", EDATE(K209, -((L209*0.5)+3)),
    TRUE, ""
)</f>
        <v/>
      </c>
      <c r="P209" s="45" t="str" cm="1">
        <f t="array" ref="P209">_xlfn.IFS(
    J209&lt;&gt;"", J209,
    K209&lt;&gt;"", EDATE(K209, -3),
    G209&lt;&gt;"", EDATE(G209, + L209),
    H209&lt;&gt;"", EDATE(H209, + L209*0.75),
    I209&lt;&gt;"", EDATE(I209, H L209*0.5),
    TRUE, ""
)</f>
        <v/>
      </c>
      <c r="Q209" s="45" t="str" cm="1">
        <f t="array" ref="Q209">_xlfn.IFS(
    K209&lt;&gt;"",K209,
    J209&lt;&gt;"",EDATE(J209,3),
    P209&lt;&gt;"",EDATE(P209,3),
    TRUE,""
)</f>
        <v/>
      </c>
    </row>
    <row r="210" spans="1:17" x14ac:dyDescent="0.3">
      <c r="A210" t="str">
        <f>IF(AND(Projects!A219="", Projects!B219=""), "", IF(Projects!A219="", "Unassigned", Projects!A219))</f>
        <v/>
      </c>
      <c r="B210" t="str">
        <f>IF(Projects!B219&lt;&gt;"",Projects!B219,"")</f>
        <v/>
      </c>
      <c r="C210" t="str">
        <f>IF(AND(Projects!C219="", Projects!B219=""), "", IF(Projects!C219="", "None", Projects!C219))</f>
        <v/>
      </c>
      <c r="D210" t="str">
        <f>IF(AND(Projects!D219="", Projects!B219=""), "", IF(Projects!D219="", "No OpCo", Projects!D219))</f>
        <v/>
      </c>
      <c r="E210" t="str">
        <f>IF(Projects!E219&lt;&gt;"",Projects!E219,"")</f>
        <v/>
      </c>
      <c r="F210" t="str">
        <f>IF(Projects!F219&lt;&gt;"",Projects!F219,"")</f>
        <v/>
      </c>
      <c r="G210" s="45" t="str">
        <f>IF(Projects!G219&lt;&gt;"",Projects!G219,"")</f>
        <v/>
      </c>
      <c r="H210" s="45" t="str">
        <f>IF(Projects!H219&lt;&gt;"",Projects!H219,"")</f>
        <v/>
      </c>
      <c r="I210" s="45" t="str">
        <f>IF(Projects!I219&lt;&gt;"",Projects!I219,"")</f>
        <v/>
      </c>
      <c r="J210" s="45" t="str">
        <f>IF(Projects!J219&lt;&gt;"",Projects!J219,"")</f>
        <v/>
      </c>
      <c r="K210" s="45" t="str">
        <f>IF(Projects!K219&lt;&gt;"",Projects!K219,"")</f>
        <v/>
      </c>
      <c r="L210" t="str">
        <f>IF(AND(Projects!E219&lt;&gt;"", Projects!F219&lt;&gt;""),
INDEX('Duration Table'!$D$7:$H$17,MATCH(Projects!E219,'Duration Table'!$C$7:$C$17,0),MATCH(Projects!F219,'Duration Table'!$D$6:$H$6)),
   ""
)</f>
        <v/>
      </c>
      <c r="M210" s="45" t="str" cm="1">
        <f t="array" ref="M210">_xlfn.IFS(
    G210&lt;&gt;"",G210,
    H210&lt;&gt;"",EDATE(H210,-0.25*L210),
    N210&lt;&gt;"",EDATE(N210,-0.25*L210),
    TRUE,""
)</f>
        <v/>
      </c>
      <c r="N210" s="45" t="str" cm="1">
        <f t="array" ref="N210">_xlfn.IFS(
    H210&lt;&gt;"", H210,
    COUNT(G210,I210)=2, (G210 + (DATEDIF(G210,I210,"d")*0.5)),
    COUNT(G210,J210)=2, (G210 + (DATEDIF(G210,J210,"d")*0.25)),
    COUNT(G210,K210)=2, (G210 + ((DATEDIF(G210,K210,"d")-90)*0.25)),
    COUNT(I210,J210)=2, (I210 -(DATEDIF(I210,J210,"d")*0.5)),
    COUNT(I210,K210)=2, (I210 -((DATEDIF(I210,K210,"d")-90)*0.5)),
    G210&lt;&gt;"", EDATE(G210, + L210*0.25),
    I210&lt;&gt;"", EDATE(I210, - L210*0.25),
    J210&lt;&gt;"", EDATE(J210, - L210*0.75),
    K210&lt;&gt;"", EDATE(K210, -((L210*0.75)+3)),
    TRUE, ""
)</f>
        <v/>
      </c>
      <c r="O210" s="45" t="str" cm="1">
        <f t="array" ref="O210">_xlfn.IFS(
    I210&lt;&gt;"", I210,
    COUNT(H210,J210)=2, (H210 + (DATEDIF(H210,J210,"d")*0.33)),
    COUNT(H210,K210)=2, (H210 + ((DATEDIF(H210,K210,"d")-90)*0.33)),
    COUNT(G210,J210)=2, (G210 +  DATEDIF(G210,J210,"d")*0.5),
    COUNT(G210,K210)=2, (G210 + (DATEDIF(G210,K210,"d")-90)*0.5),
    G210&lt;&gt;"", EDATE(G210, + L210*0.5),
    H210&lt;&gt;"", EDATE(H210, + L210*0.25),
    J210&lt;&gt;"", EDATE(J210, - L210*0.5),
    K210&lt;&gt;"", EDATE(K210, -((L210*0.5)+3)),
    TRUE, ""
)</f>
        <v/>
      </c>
      <c r="P210" s="45" t="str" cm="1">
        <f t="array" ref="P210">_xlfn.IFS(
    J210&lt;&gt;"", J210,
    K210&lt;&gt;"", EDATE(K210, -3),
    G210&lt;&gt;"", EDATE(G210, + L210),
    H210&lt;&gt;"", EDATE(H210, + L210*0.75),
    I210&lt;&gt;"", EDATE(I210, H L210*0.5),
    TRUE, ""
)</f>
        <v/>
      </c>
      <c r="Q210" s="45" t="str" cm="1">
        <f t="array" ref="Q210">_xlfn.IFS(
    K210&lt;&gt;"",K210,
    J210&lt;&gt;"",EDATE(J210,3),
    P210&lt;&gt;"",EDATE(P210,3),
    TRUE,""
)</f>
        <v/>
      </c>
    </row>
    <row r="211" spans="1:17" x14ac:dyDescent="0.3">
      <c r="A211" t="str">
        <f>IF(AND(Projects!A220="", Projects!B220=""), "", IF(Projects!A220="", "Unassigned", Projects!A220))</f>
        <v/>
      </c>
      <c r="B211" t="str">
        <f>IF(Projects!B220&lt;&gt;"",Projects!B220,"")</f>
        <v/>
      </c>
      <c r="C211" t="str">
        <f>IF(AND(Projects!C220="", Projects!B220=""), "", IF(Projects!C220="", "None", Projects!C220))</f>
        <v/>
      </c>
      <c r="D211" t="str">
        <f>IF(AND(Projects!D220="", Projects!B220=""), "", IF(Projects!D220="", "No OpCo", Projects!D220))</f>
        <v/>
      </c>
      <c r="E211" t="str">
        <f>IF(Projects!E220&lt;&gt;"",Projects!E220,"")</f>
        <v/>
      </c>
      <c r="F211" t="str">
        <f>IF(Projects!F220&lt;&gt;"",Projects!F220,"")</f>
        <v/>
      </c>
      <c r="G211" s="45" t="str">
        <f>IF(Projects!G220&lt;&gt;"",Projects!G220,"")</f>
        <v/>
      </c>
      <c r="H211" s="45" t="str">
        <f>IF(Projects!H220&lt;&gt;"",Projects!H220,"")</f>
        <v/>
      </c>
      <c r="I211" s="45" t="str">
        <f>IF(Projects!I220&lt;&gt;"",Projects!I220,"")</f>
        <v/>
      </c>
      <c r="J211" s="45" t="str">
        <f>IF(Projects!J220&lt;&gt;"",Projects!J220,"")</f>
        <v/>
      </c>
      <c r="K211" s="45" t="str">
        <f>IF(Projects!K220&lt;&gt;"",Projects!K220,"")</f>
        <v/>
      </c>
      <c r="L211" t="str">
        <f>IF(AND(Projects!E220&lt;&gt;"", Projects!F220&lt;&gt;""),
INDEX('Duration Table'!$D$7:$H$17,MATCH(Projects!E220,'Duration Table'!$C$7:$C$17,0),MATCH(Projects!F220,'Duration Table'!$D$6:$H$6)),
   ""
)</f>
        <v/>
      </c>
      <c r="M211" s="45" t="str" cm="1">
        <f t="array" ref="M211">_xlfn.IFS(
    G211&lt;&gt;"",G211,
    H211&lt;&gt;"",EDATE(H211,-0.25*L211),
    N211&lt;&gt;"",EDATE(N211,-0.25*L211),
    TRUE,""
)</f>
        <v/>
      </c>
      <c r="N211" s="45" t="str" cm="1">
        <f t="array" ref="N211">_xlfn.IFS(
    H211&lt;&gt;"", H211,
    COUNT(G211,I211)=2, (G211 + (DATEDIF(G211,I211,"d")*0.5)),
    COUNT(G211,J211)=2, (G211 + (DATEDIF(G211,J211,"d")*0.25)),
    COUNT(G211,K211)=2, (G211 + ((DATEDIF(G211,K211,"d")-90)*0.25)),
    COUNT(I211,J211)=2, (I211 -(DATEDIF(I211,J211,"d")*0.5)),
    COUNT(I211,K211)=2, (I211 -((DATEDIF(I211,K211,"d")-90)*0.5)),
    G211&lt;&gt;"", EDATE(G211, + L211*0.25),
    I211&lt;&gt;"", EDATE(I211, - L211*0.25),
    J211&lt;&gt;"", EDATE(J211, - L211*0.75),
    K211&lt;&gt;"", EDATE(K211, -((L211*0.75)+3)),
    TRUE, ""
)</f>
        <v/>
      </c>
      <c r="O211" s="45" t="str" cm="1">
        <f t="array" ref="O211">_xlfn.IFS(
    I211&lt;&gt;"", I211,
    COUNT(H211,J211)=2, (H211 + (DATEDIF(H211,J211,"d")*0.33)),
    COUNT(H211,K211)=2, (H211 + ((DATEDIF(H211,K211,"d")-90)*0.33)),
    COUNT(G211,J211)=2, (G211 +  DATEDIF(G211,J211,"d")*0.5),
    COUNT(G211,K211)=2, (G211 + (DATEDIF(G211,K211,"d")-90)*0.5),
    G211&lt;&gt;"", EDATE(G211, + L211*0.5),
    H211&lt;&gt;"", EDATE(H211, + L211*0.25),
    J211&lt;&gt;"", EDATE(J211, - L211*0.5),
    K211&lt;&gt;"", EDATE(K211, -((L211*0.5)+3)),
    TRUE, ""
)</f>
        <v/>
      </c>
      <c r="P211" s="45" t="str" cm="1">
        <f t="array" ref="P211">_xlfn.IFS(
    J211&lt;&gt;"", J211,
    K211&lt;&gt;"", EDATE(K211, -3),
    G211&lt;&gt;"", EDATE(G211, + L211),
    H211&lt;&gt;"", EDATE(H211, + L211*0.75),
    I211&lt;&gt;"", EDATE(I211, H L211*0.5),
    TRUE, ""
)</f>
        <v/>
      </c>
      <c r="Q211" s="45" t="str" cm="1">
        <f t="array" ref="Q211">_xlfn.IFS(
    K211&lt;&gt;"",K211,
    J211&lt;&gt;"",EDATE(J211,3),
    P211&lt;&gt;"",EDATE(P211,3),
    TRUE,""
)</f>
        <v/>
      </c>
    </row>
    <row r="212" spans="1:17" x14ac:dyDescent="0.3">
      <c r="A212" t="str">
        <f>IF(AND(Projects!A221="", Projects!B221=""), "", IF(Projects!A221="", "Unassigned", Projects!A221))</f>
        <v/>
      </c>
      <c r="B212" t="str">
        <f>IF(Projects!B221&lt;&gt;"",Projects!B221,"")</f>
        <v/>
      </c>
      <c r="C212" t="str">
        <f>IF(AND(Projects!C221="", Projects!B221=""), "", IF(Projects!C221="", "None", Projects!C221))</f>
        <v/>
      </c>
      <c r="D212" t="str">
        <f>IF(AND(Projects!D221="", Projects!B221=""), "", IF(Projects!D221="", "No OpCo", Projects!D221))</f>
        <v/>
      </c>
      <c r="E212" t="str">
        <f>IF(Projects!E221&lt;&gt;"",Projects!E221,"")</f>
        <v/>
      </c>
      <c r="F212" t="str">
        <f>IF(Projects!F221&lt;&gt;"",Projects!F221,"")</f>
        <v/>
      </c>
      <c r="G212" s="45" t="str">
        <f>IF(Projects!G221&lt;&gt;"",Projects!G221,"")</f>
        <v/>
      </c>
      <c r="H212" s="45" t="str">
        <f>IF(Projects!H221&lt;&gt;"",Projects!H221,"")</f>
        <v/>
      </c>
      <c r="I212" s="45" t="str">
        <f>IF(Projects!I221&lt;&gt;"",Projects!I221,"")</f>
        <v/>
      </c>
      <c r="J212" s="45" t="str">
        <f>IF(Projects!J221&lt;&gt;"",Projects!J221,"")</f>
        <v/>
      </c>
      <c r="K212" s="45" t="str">
        <f>IF(Projects!K221&lt;&gt;"",Projects!K221,"")</f>
        <v/>
      </c>
      <c r="L212" t="str">
        <f>IF(AND(Projects!E221&lt;&gt;"", Projects!F221&lt;&gt;""),
INDEX('Duration Table'!$D$7:$H$17,MATCH(Projects!E221,'Duration Table'!$C$7:$C$17,0),MATCH(Projects!F221,'Duration Table'!$D$6:$H$6)),
   ""
)</f>
        <v/>
      </c>
      <c r="M212" s="45" t="str" cm="1">
        <f t="array" ref="M212">_xlfn.IFS(
    G212&lt;&gt;"",G212,
    H212&lt;&gt;"",EDATE(H212,-0.25*L212),
    N212&lt;&gt;"",EDATE(N212,-0.25*L212),
    TRUE,""
)</f>
        <v/>
      </c>
      <c r="N212" s="45" t="str" cm="1">
        <f t="array" ref="N212">_xlfn.IFS(
    H212&lt;&gt;"", H212,
    COUNT(G212,I212)=2, (G212 + (DATEDIF(G212,I212,"d")*0.5)),
    COUNT(G212,J212)=2, (G212 + (DATEDIF(G212,J212,"d")*0.25)),
    COUNT(G212,K212)=2, (G212 + ((DATEDIF(G212,K212,"d")-90)*0.25)),
    COUNT(I212,J212)=2, (I212 -(DATEDIF(I212,J212,"d")*0.5)),
    COUNT(I212,K212)=2, (I212 -((DATEDIF(I212,K212,"d")-90)*0.5)),
    G212&lt;&gt;"", EDATE(G212, + L212*0.25),
    I212&lt;&gt;"", EDATE(I212, - L212*0.25),
    J212&lt;&gt;"", EDATE(J212, - L212*0.75),
    K212&lt;&gt;"", EDATE(K212, -((L212*0.75)+3)),
    TRUE, ""
)</f>
        <v/>
      </c>
      <c r="O212" s="45" t="str" cm="1">
        <f t="array" ref="O212">_xlfn.IFS(
    I212&lt;&gt;"", I212,
    COUNT(H212,J212)=2, (H212 + (DATEDIF(H212,J212,"d")*0.33)),
    COUNT(H212,K212)=2, (H212 + ((DATEDIF(H212,K212,"d")-90)*0.33)),
    COUNT(G212,J212)=2, (G212 +  DATEDIF(G212,J212,"d")*0.5),
    COUNT(G212,K212)=2, (G212 + (DATEDIF(G212,K212,"d")-90)*0.5),
    G212&lt;&gt;"", EDATE(G212, + L212*0.5),
    H212&lt;&gt;"", EDATE(H212, + L212*0.25),
    J212&lt;&gt;"", EDATE(J212, - L212*0.5),
    K212&lt;&gt;"", EDATE(K212, -((L212*0.5)+3)),
    TRUE, ""
)</f>
        <v/>
      </c>
      <c r="P212" s="45" t="str" cm="1">
        <f t="array" ref="P212">_xlfn.IFS(
    J212&lt;&gt;"", J212,
    K212&lt;&gt;"", EDATE(K212, -3),
    G212&lt;&gt;"", EDATE(G212, + L212),
    H212&lt;&gt;"", EDATE(H212, + L212*0.75),
    I212&lt;&gt;"", EDATE(I212, H L212*0.5),
    TRUE, ""
)</f>
        <v/>
      </c>
      <c r="Q212" s="45" t="str" cm="1">
        <f t="array" ref="Q212">_xlfn.IFS(
    K212&lt;&gt;"",K212,
    J212&lt;&gt;"",EDATE(J212,3),
    P212&lt;&gt;"",EDATE(P212,3),
    TRUE,""
)</f>
        <v/>
      </c>
    </row>
    <row r="213" spans="1:17" x14ac:dyDescent="0.3">
      <c r="A213" t="str">
        <f>IF(AND(Projects!A222="", Projects!B222=""), "", IF(Projects!A222="", "Unassigned", Projects!A222))</f>
        <v/>
      </c>
      <c r="B213" t="str">
        <f>IF(Projects!B222&lt;&gt;"",Projects!B222,"")</f>
        <v/>
      </c>
      <c r="C213" t="str">
        <f>IF(AND(Projects!C222="", Projects!B222=""), "", IF(Projects!C222="", "None", Projects!C222))</f>
        <v/>
      </c>
      <c r="D213" t="str">
        <f>IF(AND(Projects!D222="", Projects!B222=""), "", IF(Projects!D222="", "No OpCo", Projects!D222))</f>
        <v/>
      </c>
      <c r="E213" t="str">
        <f>IF(Projects!E222&lt;&gt;"",Projects!E222,"")</f>
        <v/>
      </c>
      <c r="F213" t="str">
        <f>IF(Projects!F222&lt;&gt;"",Projects!F222,"")</f>
        <v/>
      </c>
      <c r="G213" s="45" t="str">
        <f>IF(Projects!G222&lt;&gt;"",Projects!G222,"")</f>
        <v/>
      </c>
      <c r="H213" s="45" t="str">
        <f>IF(Projects!H222&lt;&gt;"",Projects!H222,"")</f>
        <v/>
      </c>
      <c r="I213" s="45" t="str">
        <f>IF(Projects!I222&lt;&gt;"",Projects!I222,"")</f>
        <v/>
      </c>
      <c r="J213" s="45" t="str">
        <f>IF(Projects!J222&lt;&gt;"",Projects!J222,"")</f>
        <v/>
      </c>
      <c r="K213" s="45" t="str">
        <f>IF(Projects!K222&lt;&gt;"",Projects!K222,"")</f>
        <v/>
      </c>
      <c r="L213" t="str">
        <f>IF(AND(Projects!E222&lt;&gt;"", Projects!F222&lt;&gt;""),
INDEX('Duration Table'!$D$7:$H$17,MATCH(Projects!E222,'Duration Table'!$C$7:$C$17,0),MATCH(Projects!F222,'Duration Table'!$D$6:$H$6)),
   ""
)</f>
        <v/>
      </c>
      <c r="M213" s="45" t="str" cm="1">
        <f t="array" ref="M213">_xlfn.IFS(
    G213&lt;&gt;"",G213,
    H213&lt;&gt;"",EDATE(H213,-0.25*L213),
    N213&lt;&gt;"",EDATE(N213,-0.25*L213),
    TRUE,""
)</f>
        <v/>
      </c>
      <c r="N213" s="45" t="str" cm="1">
        <f t="array" ref="N213">_xlfn.IFS(
    H213&lt;&gt;"", H213,
    COUNT(G213,I213)=2, (G213 + (DATEDIF(G213,I213,"d")*0.5)),
    COUNT(G213,J213)=2, (G213 + (DATEDIF(G213,J213,"d")*0.25)),
    COUNT(G213,K213)=2, (G213 + ((DATEDIF(G213,K213,"d")-90)*0.25)),
    COUNT(I213,J213)=2, (I213 -(DATEDIF(I213,J213,"d")*0.5)),
    COUNT(I213,K213)=2, (I213 -((DATEDIF(I213,K213,"d")-90)*0.5)),
    G213&lt;&gt;"", EDATE(G213, + L213*0.25),
    I213&lt;&gt;"", EDATE(I213, - L213*0.25),
    J213&lt;&gt;"", EDATE(J213, - L213*0.75),
    K213&lt;&gt;"", EDATE(K213, -((L213*0.75)+3)),
    TRUE, ""
)</f>
        <v/>
      </c>
      <c r="O213" s="45" t="str" cm="1">
        <f t="array" ref="O213">_xlfn.IFS(
    I213&lt;&gt;"", I213,
    COUNT(H213,J213)=2, (H213 + (DATEDIF(H213,J213,"d")*0.33)),
    COUNT(H213,K213)=2, (H213 + ((DATEDIF(H213,K213,"d")-90)*0.33)),
    COUNT(G213,J213)=2, (G213 +  DATEDIF(G213,J213,"d")*0.5),
    COUNT(G213,K213)=2, (G213 + (DATEDIF(G213,K213,"d")-90)*0.5),
    G213&lt;&gt;"", EDATE(G213, + L213*0.5),
    H213&lt;&gt;"", EDATE(H213, + L213*0.25),
    J213&lt;&gt;"", EDATE(J213, - L213*0.5),
    K213&lt;&gt;"", EDATE(K213, -((L213*0.5)+3)),
    TRUE, ""
)</f>
        <v/>
      </c>
      <c r="P213" s="45" t="str" cm="1">
        <f t="array" ref="P213">_xlfn.IFS(
    J213&lt;&gt;"", J213,
    K213&lt;&gt;"", EDATE(K213, -3),
    G213&lt;&gt;"", EDATE(G213, + L213),
    H213&lt;&gt;"", EDATE(H213, + L213*0.75),
    I213&lt;&gt;"", EDATE(I213, H L213*0.5),
    TRUE, ""
)</f>
        <v/>
      </c>
      <c r="Q213" s="45" t="str" cm="1">
        <f t="array" ref="Q213">_xlfn.IFS(
    K213&lt;&gt;"",K213,
    J213&lt;&gt;"",EDATE(J213,3),
    P213&lt;&gt;"",EDATE(P213,3),
    TRUE,""
)</f>
        <v/>
      </c>
    </row>
    <row r="214" spans="1:17" x14ac:dyDescent="0.3">
      <c r="A214" t="str">
        <f>IF(AND(Projects!A223="", Projects!B223=""), "", IF(Projects!A223="", "Unassigned", Projects!A223))</f>
        <v/>
      </c>
      <c r="B214" t="str">
        <f>IF(Projects!B223&lt;&gt;"",Projects!B223,"")</f>
        <v/>
      </c>
      <c r="C214" t="str">
        <f>IF(AND(Projects!C223="", Projects!B223=""), "", IF(Projects!C223="", "None", Projects!C223))</f>
        <v/>
      </c>
      <c r="D214" t="str">
        <f>IF(AND(Projects!D223="", Projects!B223=""), "", IF(Projects!D223="", "No OpCo", Projects!D223))</f>
        <v/>
      </c>
      <c r="E214" t="str">
        <f>IF(Projects!E223&lt;&gt;"",Projects!E223,"")</f>
        <v/>
      </c>
      <c r="F214" t="str">
        <f>IF(Projects!F223&lt;&gt;"",Projects!F223,"")</f>
        <v/>
      </c>
      <c r="G214" s="45" t="str">
        <f>IF(Projects!G223&lt;&gt;"",Projects!G223,"")</f>
        <v/>
      </c>
      <c r="H214" s="45" t="str">
        <f>IF(Projects!H223&lt;&gt;"",Projects!H223,"")</f>
        <v/>
      </c>
      <c r="I214" s="45" t="str">
        <f>IF(Projects!I223&lt;&gt;"",Projects!I223,"")</f>
        <v/>
      </c>
      <c r="J214" s="45" t="str">
        <f>IF(Projects!J223&lt;&gt;"",Projects!J223,"")</f>
        <v/>
      </c>
      <c r="K214" s="45" t="str">
        <f>IF(Projects!K223&lt;&gt;"",Projects!K223,"")</f>
        <v/>
      </c>
      <c r="L214" t="str">
        <f>IF(AND(Projects!E223&lt;&gt;"", Projects!F223&lt;&gt;""),
INDEX('Duration Table'!$D$7:$H$17,MATCH(Projects!E223,'Duration Table'!$C$7:$C$17,0),MATCH(Projects!F223,'Duration Table'!$D$6:$H$6)),
   ""
)</f>
        <v/>
      </c>
      <c r="M214" s="45" t="str" cm="1">
        <f t="array" ref="M214">_xlfn.IFS(
    G214&lt;&gt;"",G214,
    H214&lt;&gt;"",EDATE(H214,-0.25*L214),
    N214&lt;&gt;"",EDATE(N214,-0.25*L214),
    TRUE,""
)</f>
        <v/>
      </c>
      <c r="N214" s="45" t="str" cm="1">
        <f t="array" ref="N214">_xlfn.IFS(
    H214&lt;&gt;"", H214,
    COUNT(G214,I214)=2, (G214 + (DATEDIF(G214,I214,"d")*0.5)),
    COUNT(G214,J214)=2, (G214 + (DATEDIF(G214,J214,"d")*0.25)),
    COUNT(G214,K214)=2, (G214 + ((DATEDIF(G214,K214,"d")-90)*0.25)),
    COUNT(I214,J214)=2, (I214 -(DATEDIF(I214,J214,"d")*0.5)),
    COUNT(I214,K214)=2, (I214 -((DATEDIF(I214,K214,"d")-90)*0.5)),
    G214&lt;&gt;"", EDATE(G214, + L214*0.25),
    I214&lt;&gt;"", EDATE(I214, - L214*0.25),
    J214&lt;&gt;"", EDATE(J214, - L214*0.75),
    K214&lt;&gt;"", EDATE(K214, -((L214*0.75)+3)),
    TRUE, ""
)</f>
        <v/>
      </c>
      <c r="O214" s="45" t="str" cm="1">
        <f t="array" ref="O214">_xlfn.IFS(
    I214&lt;&gt;"", I214,
    COUNT(H214,J214)=2, (H214 + (DATEDIF(H214,J214,"d")*0.33)),
    COUNT(H214,K214)=2, (H214 + ((DATEDIF(H214,K214,"d")-90)*0.33)),
    COUNT(G214,J214)=2, (G214 +  DATEDIF(G214,J214,"d")*0.5),
    COUNT(G214,K214)=2, (G214 + (DATEDIF(G214,K214,"d")-90)*0.5),
    G214&lt;&gt;"", EDATE(G214, + L214*0.5),
    H214&lt;&gt;"", EDATE(H214, + L214*0.25),
    J214&lt;&gt;"", EDATE(J214, - L214*0.5),
    K214&lt;&gt;"", EDATE(K214, -((L214*0.5)+3)),
    TRUE, ""
)</f>
        <v/>
      </c>
      <c r="P214" s="45" t="str" cm="1">
        <f t="array" ref="P214">_xlfn.IFS(
    J214&lt;&gt;"", J214,
    K214&lt;&gt;"", EDATE(K214, -3),
    G214&lt;&gt;"", EDATE(G214, + L214),
    H214&lt;&gt;"", EDATE(H214, + L214*0.75),
    I214&lt;&gt;"", EDATE(I214, H L214*0.5),
    TRUE, ""
)</f>
        <v/>
      </c>
      <c r="Q214" s="45" t="str" cm="1">
        <f t="array" ref="Q214">_xlfn.IFS(
    K214&lt;&gt;"",K214,
    J214&lt;&gt;"",EDATE(J214,3),
    P214&lt;&gt;"",EDATE(P214,3),
    TRUE,""
)</f>
        <v/>
      </c>
    </row>
    <row r="215" spans="1:17" x14ac:dyDescent="0.3">
      <c r="A215" t="str">
        <f>IF(AND(Projects!A224="", Projects!B224=""), "", IF(Projects!A224="", "Unassigned", Projects!A224))</f>
        <v/>
      </c>
      <c r="B215" t="str">
        <f>IF(Projects!B224&lt;&gt;"",Projects!B224,"")</f>
        <v/>
      </c>
      <c r="C215" t="str">
        <f>IF(AND(Projects!C224="", Projects!B224=""), "", IF(Projects!C224="", "None", Projects!C224))</f>
        <v/>
      </c>
      <c r="D215" t="str">
        <f>IF(AND(Projects!D224="", Projects!B224=""), "", IF(Projects!D224="", "No OpCo", Projects!D224))</f>
        <v/>
      </c>
      <c r="E215" t="str">
        <f>IF(Projects!E224&lt;&gt;"",Projects!E224,"")</f>
        <v/>
      </c>
      <c r="F215" t="str">
        <f>IF(Projects!F224&lt;&gt;"",Projects!F224,"")</f>
        <v/>
      </c>
      <c r="G215" s="45" t="str">
        <f>IF(Projects!G224&lt;&gt;"",Projects!G224,"")</f>
        <v/>
      </c>
      <c r="H215" s="45" t="str">
        <f>IF(Projects!H224&lt;&gt;"",Projects!H224,"")</f>
        <v/>
      </c>
      <c r="I215" s="45" t="str">
        <f>IF(Projects!I224&lt;&gt;"",Projects!I224,"")</f>
        <v/>
      </c>
      <c r="J215" s="45" t="str">
        <f>IF(Projects!J224&lt;&gt;"",Projects!J224,"")</f>
        <v/>
      </c>
      <c r="K215" s="45" t="str">
        <f>IF(Projects!K224&lt;&gt;"",Projects!K224,"")</f>
        <v/>
      </c>
      <c r="L215" t="str">
        <f>IF(AND(Projects!E224&lt;&gt;"", Projects!F224&lt;&gt;""),
INDEX('Duration Table'!$D$7:$H$17,MATCH(Projects!E224,'Duration Table'!$C$7:$C$17,0),MATCH(Projects!F224,'Duration Table'!$D$6:$H$6)),
   ""
)</f>
        <v/>
      </c>
      <c r="M215" s="45" t="str" cm="1">
        <f t="array" ref="M215">_xlfn.IFS(
    G215&lt;&gt;"",G215,
    H215&lt;&gt;"",EDATE(H215,-0.25*L215),
    N215&lt;&gt;"",EDATE(N215,-0.25*L215),
    TRUE,""
)</f>
        <v/>
      </c>
      <c r="N215" s="45" t="str" cm="1">
        <f t="array" ref="N215">_xlfn.IFS(
    H215&lt;&gt;"", H215,
    COUNT(G215,I215)=2, (G215 + (DATEDIF(G215,I215,"d")*0.5)),
    COUNT(G215,J215)=2, (G215 + (DATEDIF(G215,J215,"d")*0.25)),
    COUNT(G215,K215)=2, (G215 + ((DATEDIF(G215,K215,"d")-90)*0.25)),
    COUNT(I215,J215)=2, (I215 -(DATEDIF(I215,J215,"d")*0.5)),
    COUNT(I215,K215)=2, (I215 -((DATEDIF(I215,K215,"d")-90)*0.5)),
    G215&lt;&gt;"", EDATE(G215, + L215*0.25),
    I215&lt;&gt;"", EDATE(I215, - L215*0.25),
    J215&lt;&gt;"", EDATE(J215, - L215*0.75),
    K215&lt;&gt;"", EDATE(K215, -((L215*0.75)+3)),
    TRUE, ""
)</f>
        <v/>
      </c>
      <c r="O215" s="45" t="str" cm="1">
        <f t="array" ref="O215">_xlfn.IFS(
    I215&lt;&gt;"", I215,
    COUNT(H215,J215)=2, (H215 + (DATEDIF(H215,J215,"d")*0.33)),
    COUNT(H215,K215)=2, (H215 + ((DATEDIF(H215,K215,"d")-90)*0.33)),
    COUNT(G215,J215)=2, (G215 +  DATEDIF(G215,J215,"d")*0.5),
    COUNT(G215,K215)=2, (G215 + (DATEDIF(G215,K215,"d")-90)*0.5),
    G215&lt;&gt;"", EDATE(G215, + L215*0.5),
    H215&lt;&gt;"", EDATE(H215, + L215*0.25),
    J215&lt;&gt;"", EDATE(J215, - L215*0.5),
    K215&lt;&gt;"", EDATE(K215, -((L215*0.5)+3)),
    TRUE, ""
)</f>
        <v/>
      </c>
      <c r="P215" s="45" t="str" cm="1">
        <f t="array" ref="P215">_xlfn.IFS(
    J215&lt;&gt;"", J215,
    K215&lt;&gt;"", EDATE(K215, -3),
    G215&lt;&gt;"", EDATE(G215, + L215),
    H215&lt;&gt;"", EDATE(H215, + L215*0.75),
    I215&lt;&gt;"", EDATE(I215, H L215*0.5),
    TRUE, ""
)</f>
        <v/>
      </c>
      <c r="Q215" s="45" t="str" cm="1">
        <f t="array" ref="Q215">_xlfn.IFS(
    K215&lt;&gt;"",K215,
    J215&lt;&gt;"",EDATE(J215,3),
    P215&lt;&gt;"",EDATE(P215,3),
    TRUE,""
)</f>
        <v/>
      </c>
    </row>
    <row r="216" spans="1:17" x14ac:dyDescent="0.3">
      <c r="A216" t="str">
        <f>IF(AND(Projects!A225="", Projects!B225=""), "", IF(Projects!A225="", "Unassigned", Projects!A225))</f>
        <v/>
      </c>
      <c r="B216" t="str">
        <f>IF(Projects!B225&lt;&gt;"",Projects!B225,"")</f>
        <v/>
      </c>
      <c r="C216" t="str">
        <f>IF(AND(Projects!C225="", Projects!B225=""), "", IF(Projects!C225="", "None", Projects!C225))</f>
        <v/>
      </c>
      <c r="D216" t="str">
        <f>IF(AND(Projects!D225="", Projects!B225=""), "", IF(Projects!D225="", "No OpCo", Projects!D225))</f>
        <v/>
      </c>
      <c r="E216" t="str">
        <f>IF(Projects!E225&lt;&gt;"",Projects!E225,"")</f>
        <v/>
      </c>
      <c r="F216" t="str">
        <f>IF(Projects!F225&lt;&gt;"",Projects!F225,"")</f>
        <v/>
      </c>
      <c r="G216" s="45" t="str">
        <f>IF(Projects!G225&lt;&gt;"",Projects!G225,"")</f>
        <v/>
      </c>
      <c r="H216" s="45" t="str">
        <f>IF(Projects!H225&lt;&gt;"",Projects!H225,"")</f>
        <v/>
      </c>
      <c r="I216" s="45" t="str">
        <f>IF(Projects!I225&lt;&gt;"",Projects!I225,"")</f>
        <v/>
      </c>
      <c r="J216" s="45" t="str">
        <f>IF(Projects!J225&lt;&gt;"",Projects!J225,"")</f>
        <v/>
      </c>
      <c r="K216" s="45" t="str">
        <f>IF(Projects!K225&lt;&gt;"",Projects!K225,"")</f>
        <v/>
      </c>
      <c r="L216" t="str">
        <f>IF(AND(Projects!E225&lt;&gt;"", Projects!F225&lt;&gt;""),
INDEX('Duration Table'!$D$7:$H$17,MATCH(Projects!E225,'Duration Table'!$C$7:$C$17,0),MATCH(Projects!F225,'Duration Table'!$D$6:$H$6)),
   ""
)</f>
        <v/>
      </c>
      <c r="M216" s="45" t="str" cm="1">
        <f t="array" ref="M216">_xlfn.IFS(
    G216&lt;&gt;"",G216,
    H216&lt;&gt;"",EDATE(H216,-0.25*L216),
    N216&lt;&gt;"",EDATE(N216,-0.25*L216),
    TRUE,""
)</f>
        <v/>
      </c>
      <c r="N216" s="45" t="str" cm="1">
        <f t="array" ref="N216">_xlfn.IFS(
    H216&lt;&gt;"", H216,
    COUNT(G216,I216)=2, (G216 + (DATEDIF(G216,I216,"d")*0.5)),
    COUNT(G216,J216)=2, (G216 + (DATEDIF(G216,J216,"d")*0.25)),
    COUNT(G216,K216)=2, (G216 + ((DATEDIF(G216,K216,"d")-90)*0.25)),
    COUNT(I216,J216)=2, (I216 -(DATEDIF(I216,J216,"d")*0.5)),
    COUNT(I216,K216)=2, (I216 -((DATEDIF(I216,K216,"d")-90)*0.5)),
    G216&lt;&gt;"", EDATE(G216, + L216*0.25),
    I216&lt;&gt;"", EDATE(I216, - L216*0.25),
    J216&lt;&gt;"", EDATE(J216, - L216*0.75),
    K216&lt;&gt;"", EDATE(K216, -((L216*0.75)+3)),
    TRUE, ""
)</f>
        <v/>
      </c>
      <c r="O216" s="45" t="str" cm="1">
        <f t="array" ref="O216">_xlfn.IFS(
    I216&lt;&gt;"", I216,
    COUNT(H216,J216)=2, (H216 + (DATEDIF(H216,J216,"d")*0.33)),
    COUNT(H216,K216)=2, (H216 + ((DATEDIF(H216,K216,"d")-90)*0.33)),
    COUNT(G216,J216)=2, (G216 +  DATEDIF(G216,J216,"d")*0.5),
    COUNT(G216,K216)=2, (G216 + (DATEDIF(G216,K216,"d")-90)*0.5),
    G216&lt;&gt;"", EDATE(G216, + L216*0.5),
    H216&lt;&gt;"", EDATE(H216, + L216*0.25),
    J216&lt;&gt;"", EDATE(J216, - L216*0.5),
    K216&lt;&gt;"", EDATE(K216, -((L216*0.5)+3)),
    TRUE, ""
)</f>
        <v/>
      </c>
      <c r="P216" s="45" t="str" cm="1">
        <f t="array" ref="P216">_xlfn.IFS(
    J216&lt;&gt;"", J216,
    K216&lt;&gt;"", EDATE(K216, -3),
    G216&lt;&gt;"", EDATE(G216, + L216),
    H216&lt;&gt;"", EDATE(H216, + L216*0.75),
    I216&lt;&gt;"", EDATE(I216, H L216*0.5),
    TRUE, ""
)</f>
        <v/>
      </c>
      <c r="Q216" s="45" t="str" cm="1">
        <f t="array" ref="Q216">_xlfn.IFS(
    K216&lt;&gt;"",K216,
    J216&lt;&gt;"",EDATE(J216,3),
    P216&lt;&gt;"",EDATE(P216,3),
    TRUE,""
)</f>
        <v/>
      </c>
    </row>
    <row r="217" spans="1:17" x14ac:dyDescent="0.3">
      <c r="A217" t="str">
        <f>IF(AND(Projects!A226="", Projects!B226=""), "", IF(Projects!A226="", "Unassigned", Projects!A226))</f>
        <v/>
      </c>
      <c r="B217" t="str">
        <f>IF(Projects!B226&lt;&gt;"",Projects!B226,"")</f>
        <v/>
      </c>
      <c r="C217" t="str">
        <f>IF(AND(Projects!C226="", Projects!B226=""), "", IF(Projects!C226="", "None", Projects!C226))</f>
        <v/>
      </c>
      <c r="D217" t="str">
        <f>IF(AND(Projects!D226="", Projects!B226=""), "", IF(Projects!D226="", "No OpCo", Projects!D226))</f>
        <v/>
      </c>
      <c r="E217" t="str">
        <f>IF(Projects!E226&lt;&gt;"",Projects!E226,"")</f>
        <v/>
      </c>
      <c r="F217" t="str">
        <f>IF(Projects!F226&lt;&gt;"",Projects!F226,"")</f>
        <v/>
      </c>
      <c r="G217" s="45" t="str">
        <f>IF(Projects!G226&lt;&gt;"",Projects!G226,"")</f>
        <v/>
      </c>
      <c r="H217" s="45" t="str">
        <f>IF(Projects!H226&lt;&gt;"",Projects!H226,"")</f>
        <v/>
      </c>
      <c r="I217" s="45" t="str">
        <f>IF(Projects!I226&lt;&gt;"",Projects!I226,"")</f>
        <v/>
      </c>
      <c r="J217" s="45" t="str">
        <f>IF(Projects!J226&lt;&gt;"",Projects!J226,"")</f>
        <v/>
      </c>
      <c r="K217" s="45" t="str">
        <f>IF(Projects!K226&lt;&gt;"",Projects!K226,"")</f>
        <v/>
      </c>
      <c r="L217" t="str">
        <f>IF(AND(Projects!E226&lt;&gt;"", Projects!F226&lt;&gt;""),
INDEX('Duration Table'!$D$7:$H$17,MATCH(Projects!E226,'Duration Table'!$C$7:$C$17,0),MATCH(Projects!F226,'Duration Table'!$D$6:$H$6)),
   ""
)</f>
        <v/>
      </c>
      <c r="M217" s="45" t="str" cm="1">
        <f t="array" ref="M217">_xlfn.IFS(
    G217&lt;&gt;"",G217,
    H217&lt;&gt;"",EDATE(H217,-0.25*L217),
    N217&lt;&gt;"",EDATE(N217,-0.25*L217),
    TRUE,""
)</f>
        <v/>
      </c>
      <c r="N217" s="45" t="str" cm="1">
        <f t="array" ref="N217">_xlfn.IFS(
    H217&lt;&gt;"", H217,
    COUNT(G217,I217)=2, (G217 + (DATEDIF(G217,I217,"d")*0.5)),
    COUNT(G217,J217)=2, (G217 + (DATEDIF(G217,J217,"d")*0.25)),
    COUNT(G217,K217)=2, (G217 + ((DATEDIF(G217,K217,"d")-90)*0.25)),
    COUNT(I217,J217)=2, (I217 -(DATEDIF(I217,J217,"d")*0.5)),
    COUNT(I217,K217)=2, (I217 -((DATEDIF(I217,K217,"d")-90)*0.5)),
    G217&lt;&gt;"", EDATE(G217, + L217*0.25),
    I217&lt;&gt;"", EDATE(I217, - L217*0.25),
    J217&lt;&gt;"", EDATE(J217, - L217*0.75),
    K217&lt;&gt;"", EDATE(K217, -((L217*0.75)+3)),
    TRUE, ""
)</f>
        <v/>
      </c>
      <c r="O217" s="45" t="str" cm="1">
        <f t="array" ref="O217">_xlfn.IFS(
    I217&lt;&gt;"", I217,
    COUNT(H217,J217)=2, (H217 + (DATEDIF(H217,J217,"d")*0.33)),
    COUNT(H217,K217)=2, (H217 + ((DATEDIF(H217,K217,"d")-90)*0.33)),
    COUNT(G217,J217)=2, (G217 +  DATEDIF(G217,J217,"d")*0.5),
    COUNT(G217,K217)=2, (G217 + (DATEDIF(G217,K217,"d")-90)*0.5),
    G217&lt;&gt;"", EDATE(G217, + L217*0.5),
    H217&lt;&gt;"", EDATE(H217, + L217*0.25),
    J217&lt;&gt;"", EDATE(J217, - L217*0.5),
    K217&lt;&gt;"", EDATE(K217, -((L217*0.5)+3)),
    TRUE, ""
)</f>
        <v/>
      </c>
      <c r="P217" s="45" t="str" cm="1">
        <f t="array" ref="P217">_xlfn.IFS(
    J217&lt;&gt;"", J217,
    K217&lt;&gt;"", EDATE(K217, -3),
    G217&lt;&gt;"", EDATE(G217, + L217),
    H217&lt;&gt;"", EDATE(H217, + L217*0.75),
    I217&lt;&gt;"", EDATE(I217, H L217*0.5),
    TRUE, ""
)</f>
        <v/>
      </c>
      <c r="Q217" s="45" t="str" cm="1">
        <f t="array" ref="Q217">_xlfn.IFS(
    K217&lt;&gt;"",K217,
    J217&lt;&gt;"",EDATE(J217,3),
    P217&lt;&gt;"",EDATE(P217,3),
    TRUE,""
)</f>
        <v/>
      </c>
    </row>
    <row r="218" spans="1:17" x14ac:dyDescent="0.3">
      <c r="A218" t="str">
        <f>IF(AND(Projects!A227="", Projects!B227=""), "", IF(Projects!A227="", "Unassigned", Projects!A227))</f>
        <v/>
      </c>
      <c r="B218" t="str">
        <f>IF(Projects!B227&lt;&gt;"",Projects!B227,"")</f>
        <v/>
      </c>
      <c r="C218" t="str">
        <f>IF(AND(Projects!C227="", Projects!B227=""), "", IF(Projects!C227="", "None", Projects!C227))</f>
        <v/>
      </c>
      <c r="D218" t="str">
        <f>IF(AND(Projects!D227="", Projects!B227=""), "", IF(Projects!D227="", "No OpCo", Projects!D227))</f>
        <v/>
      </c>
      <c r="E218" t="str">
        <f>IF(Projects!E227&lt;&gt;"",Projects!E227,"")</f>
        <v/>
      </c>
      <c r="F218" t="str">
        <f>IF(Projects!F227&lt;&gt;"",Projects!F227,"")</f>
        <v/>
      </c>
      <c r="G218" s="45" t="str">
        <f>IF(Projects!G227&lt;&gt;"",Projects!G227,"")</f>
        <v/>
      </c>
      <c r="H218" s="45" t="str">
        <f>IF(Projects!H227&lt;&gt;"",Projects!H227,"")</f>
        <v/>
      </c>
      <c r="I218" s="45" t="str">
        <f>IF(Projects!I227&lt;&gt;"",Projects!I227,"")</f>
        <v/>
      </c>
      <c r="J218" s="45" t="str">
        <f>IF(Projects!J227&lt;&gt;"",Projects!J227,"")</f>
        <v/>
      </c>
      <c r="K218" s="45" t="str">
        <f>IF(Projects!K227&lt;&gt;"",Projects!K227,"")</f>
        <v/>
      </c>
      <c r="L218" t="str">
        <f>IF(AND(Projects!E227&lt;&gt;"", Projects!F227&lt;&gt;""),
INDEX('Duration Table'!$D$7:$H$17,MATCH(Projects!E227,'Duration Table'!$C$7:$C$17,0),MATCH(Projects!F227,'Duration Table'!$D$6:$H$6)),
   ""
)</f>
        <v/>
      </c>
      <c r="M218" s="45" t="str" cm="1">
        <f t="array" ref="M218">_xlfn.IFS(
    G218&lt;&gt;"",G218,
    H218&lt;&gt;"",EDATE(H218,-0.25*L218),
    N218&lt;&gt;"",EDATE(N218,-0.25*L218),
    TRUE,""
)</f>
        <v/>
      </c>
      <c r="N218" s="45" t="str" cm="1">
        <f t="array" ref="N218">_xlfn.IFS(
    H218&lt;&gt;"", H218,
    COUNT(G218,I218)=2, (G218 + (DATEDIF(G218,I218,"d")*0.5)),
    COUNT(G218,J218)=2, (G218 + (DATEDIF(G218,J218,"d")*0.25)),
    COUNT(G218,K218)=2, (G218 + ((DATEDIF(G218,K218,"d")-90)*0.25)),
    COUNT(I218,J218)=2, (I218 -(DATEDIF(I218,J218,"d")*0.5)),
    COUNT(I218,K218)=2, (I218 -((DATEDIF(I218,K218,"d")-90)*0.5)),
    G218&lt;&gt;"", EDATE(G218, + L218*0.25),
    I218&lt;&gt;"", EDATE(I218, - L218*0.25),
    J218&lt;&gt;"", EDATE(J218, - L218*0.75),
    K218&lt;&gt;"", EDATE(K218, -((L218*0.75)+3)),
    TRUE, ""
)</f>
        <v/>
      </c>
      <c r="O218" s="45" t="str" cm="1">
        <f t="array" ref="O218">_xlfn.IFS(
    I218&lt;&gt;"", I218,
    COUNT(H218,J218)=2, (H218 + (DATEDIF(H218,J218,"d")*0.33)),
    COUNT(H218,K218)=2, (H218 + ((DATEDIF(H218,K218,"d")-90)*0.33)),
    COUNT(G218,J218)=2, (G218 +  DATEDIF(G218,J218,"d")*0.5),
    COUNT(G218,K218)=2, (G218 + (DATEDIF(G218,K218,"d")-90)*0.5),
    G218&lt;&gt;"", EDATE(G218, + L218*0.5),
    H218&lt;&gt;"", EDATE(H218, + L218*0.25),
    J218&lt;&gt;"", EDATE(J218, - L218*0.5),
    K218&lt;&gt;"", EDATE(K218, -((L218*0.5)+3)),
    TRUE, ""
)</f>
        <v/>
      </c>
      <c r="P218" s="45" t="str" cm="1">
        <f t="array" ref="P218">_xlfn.IFS(
    J218&lt;&gt;"", J218,
    K218&lt;&gt;"", EDATE(K218, -3),
    G218&lt;&gt;"", EDATE(G218, + L218),
    H218&lt;&gt;"", EDATE(H218, + L218*0.75),
    I218&lt;&gt;"", EDATE(I218, H L218*0.5),
    TRUE, ""
)</f>
        <v/>
      </c>
      <c r="Q218" s="45" t="str" cm="1">
        <f t="array" ref="Q218">_xlfn.IFS(
    K218&lt;&gt;"",K218,
    J218&lt;&gt;"",EDATE(J218,3),
    P218&lt;&gt;"",EDATE(P218,3),
    TRUE,""
)</f>
        <v/>
      </c>
    </row>
    <row r="219" spans="1:17" x14ac:dyDescent="0.3">
      <c r="A219" t="str">
        <f>IF(AND(Projects!A228="", Projects!B228=""), "", IF(Projects!A228="", "Unassigned", Projects!A228))</f>
        <v/>
      </c>
      <c r="B219" t="str">
        <f>IF(Projects!B228&lt;&gt;"",Projects!B228,"")</f>
        <v/>
      </c>
      <c r="C219" t="str">
        <f>IF(AND(Projects!C228="", Projects!B228=""), "", IF(Projects!C228="", "None", Projects!C228))</f>
        <v/>
      </c>
      <c r="D219" t="str">
        <f>IF(AND(Projects!D228="", Projects!B228=""), "", IF(Projects!D228="", "No OpCo", Projects!D228))</f>
        <v/>
      </c>
      <c r="E219" t="str">
        <f>IF(Projects!E228&lt;&gt;"",Projects!E228,"")</f>
        <v/>
      </c>
      <c r="F219" t="str">
        <f>IF(Projects!F228&lt;&gt;"",Projects!F228,"")</f>
        <v/>
      </c>
      <c r="G219" s="45" t="str">
        <f>IF(Projects!G228&lt;&gt;"",Projects!G228,"")</f>
        <v/>
      </c>
      <c r="H219" s="45" t="str">
        <f>IF(Projects!H228&lt;&gt;"",Projects!H228,"")</f>
        <v/>
      </c>
      <c r="I219" s="45" t="str">
        <f>IF(Projects!I228&lt;&gt;"",Projects!I228,"")</f>
        <v/>
      </c>
      <c r="J219" s="45" t="str">
        <f>IF(Projects!J228&lt;&gt;"",Projects!J228,"")</f>
        <v/>
      </c>
      <c r="K219" s="45" t="str">
        <f>IF(Projects!K228&lt;&gt;"",Projects!K228,"")</f>
        <v/>
      </c>
      <c r="L219" t="str">
        <f>IF(AND(Projects!E228&lt;&gt;"", Projects!F228&lt;&gt;""),
INDEX('Duration Table'!$D$7:$H$17,MATCH(Projects!E228,'Duration Table'!$C$7:$C$17,0),MATCH(Projects!F228,'Duration Table'!$D$6:$H$6)),
   ""
)</f>
        <v/>
      </c>
      <c r="M219" s="45" t="str" cm="1">
        <f t="array" ref="M219">_xlfn.IFS(
    G219&lt;&gt;"",G219,
    H219&lt;&gt;"",EDATE(H219,-0.25*L219),
    N219&lt;&gt;"",EDATE(N219,-0.25*L219),
    TRUE,""
)</f>
        <v/>
      </c>
      <c r="N219" s="45" t="str" cm="1">
        <f t="array" ref="N219">_xlfn.IFS(
    H219&lt;&gt;"", H219,
    COUNT(G219,I219)=2, (G219 + (DATEDIF(G219,I219,"d")*0.5)),
    COUNT(G219,J219)=2, (G219 + (DATEDIF(G219,J219,"d")*0.25)),
    COUNT(G219,K219)=2, (G219 + ((DATEDIF(G219,K219,"d")-90)*0.25)),
    COUNT(I219,J219)=2, (I219 -(DATEDIF(I219,J219,"d")*0.5)),
    COUNT(I219,K219)=2, (I219 -((DATEDIF(I219,K219,"d")-90)*0.5)),
    G219&lt;&gt;"", EDATE(G219, + L219*0.25),
    I219&lt;&gt;"", EDATE(I219, - L219*0.25),
    J219&lt;&gt;"", EDATE(J219, - L219*0.75),
    K219&lt;&gt;"", EDATE(K219, -((L219*0.75)+3)),
    TRUE, ""
)</f>
        <v/>
      </c>
      <c r="O219" s="45" t="str" cm="1">
        <f t="array" ref="O219">_xlfn.IFS(
    I219&lt;&gt;"", I219,
    COUNT(H219,J219)=2, (H219 + (DATEDIF(H219,J219,"d")*0.33)),
    COUNT(H219,K219)=2, (H219 + ((DATEDIF(H219,K219,"d")-90)*0.33)),
    COUNT(G219,J219)=2, (G219 +  DATEDIF(G219,J219,"d")*0.5),
    COUNT(G219,K219)=2, (G219 + (DATEDIF(G219,K219,"d")-90)*0.5),
    G219&lt;&gt;"", EDATE(G219, + L219*0.5),
    H219&lt;&gt;"", EDATE(H219, + L219*0.25),
    J219&lt;&gt;"", EDATE(J219, - L219*0.5),
    K219&lt;&gt;"", EDATE(K219, -((L219*0.5)+3)),
    TRUE, ""
)</f>
        <v/>
      </c>
      <c r="P219" s="45" t="str" cm="1">
        <f t="array" ref="P219">_xlfn.IFS(
    J219&lt;&gt;"", J219,
    K219&lt;&gt;"", EDATE(K219, -3),
    G219&lt;&gt;"", EDATE(G219, + L219),
    H219&lt;&gt;"", EDATE(H219, + L219*0.75),
    I219&lt;&gt;"", EDATE(I219, H L219*0.5),
    TRUE, ""
)</f>
        <v/>
      </c>
      <c r="Q219" s="45" t="str" cm="1">
        <f t="array" ref="Q219">_xlfn.IFS(
    K219&lt;&gt;"",K219,
    J219&lt;&gt;"",EDATE(J219,3),
    P219&lt;&gt;"",EDATE(P219,3),
    TRUE,""
)</f>
        <v/>
      </c>
    </row>
    <row r="220" spans="1:17" x14ac:dyDescent="0.3">
      <c r="A220" t="str">
        <f>IF(AND(Projects!A229="", Projects!B229=""), "", IF(Projects!A229="", "Unassigned", Projects!A229))</f>
        <v/>
      </c>
      <c r="B220" t="str">
        <f>IF(Projects!B229&lt;&gt;"",Projects!B229,"")</f>
        <v/>
      </c>
      <c r="C220" t="str">
        <f>IF(AND(Projects!C229="", Projects!B229=""), "", IF(Projects!C229="", "None", Projects!C229))</f>
        <v/>
      </c>
      <c r="D220" t="str">
        <f>IF(AND(Projects!D229="", Projects!B229=""), "", IF(Projects!D229="", "No OpCo", Projects!D229))</f>
        <v/>
      </c>
      <c r="E220" t="str">
        <f>IF(Projects!E229&lt;&gt;"",Projects!E229,"")</f>
        <v/>
      </c>
      <c r="F220" t="str">
        <f>IF(Projects!F229&lt;&gt;"",Projects!F229,"")</f>
        <v/>
      </c>
      <c r="G220" s="45" t="str">
        <f>IF(Projects!G229&lt;&gt;"",Projects!G229,"")</f>
        <v/>
      </c>
      <c r="H220" s="45" t="str">
        <f>IF(Projects!H229&lt;&gt;"",Projects!H229,"")</f>
        <v/>
      </c>
      <c r="I220" s="45" t="str">
        <f>IF(Projects!I229&lt;&gt;"",Projects!I229,"")</f>
        <v/>
      </c>
      <c r="J220" s="45" t="str">
        <f>IF(Projects!J229&lt;&gt;"",Projects!J229,"")</f>
        <v/>
      </c>
      <c r="K220" s="45" t="str">
        <f>IF(Projects!K229&lt;&gt;"",Projects!K229,"")</f>
        <v/>
      </c>
      <c r="L220" t="str">
        <f>IF(AND(Projects!E229&lt;&gt;"", Projects!F229&lt;&gt;""),
INDEX('Duration Table'!$D$7:$H$17,MATCH(Projects!E229,'Duration Table'!$C$7:$C$17,0),MATCH(Projects!F229,'Duration Table'!$D$6:$H$6)),
   ""
)</f>
        <v/>
      </c>
      <c r="M220" s="45" t="str" cm="1">
        <f t="array" ref="M220">_xlfn.IFS(
    G220&lt;&gt;"",G220,
    H220&lt;&gt;"",EDATE(H220,-0.25*L220),
    N220&lt;&gt;"",EDATE(N220,-0.25*L220),
    TRUE,""
)</f>
        <v/>
      </c>
      <c r="N220" s="45" t="str" cm="1">
        <f t="array" ref="N220">_xlfn.IFS(
    H220&lt;&gt;"", H220,
    COUNT(G220,I220)=2, (G220 + (DATEDIF(G220,I220,"d")*0.5)),
    COUNT(G220,J220)=2, (G220 + (DATEDIF(G220,J220,"d")*0.25)),
    COUNT(G220,K220)=2, (G220 + ((DATEDIF(G220,K220,"d")-90)*0.25)),
    COUNT(I220,J220)=2, (I220 -(DATEDIF(I220,J220,"d")*0.5)),
    COUNT(I220,K220)=2, (I220 -((DATEDIF(I220,K220,"d")-90)*0.5)),
    G220&lt;&gt;"", EDATE(G220, + L220*0.25),
    I220&lt;&gt;"", EDATE(I220, - L220*0.25),
    J220&lt;&gt;"", EDATE(J220, - L220*0.75),
    K220&lt;&gt;"", EDATE(K220, -((L220*0.75)+3)),
    TRUE, ""
)</f>
        <v/>
      </c>
      <c r="O220" s="45" t="str" cm="1">
        <f t="array" ref="O220">_xlfn.IFS(
    I220&lt;&gt;"", I220,
    COUNT(H220,J220)=2, (H220 + (DATEDIF(H220,J220,"d")*0.33)),
    COUNT(H220,K220)=2, (H220 + ((DATEDIF(H220,K220,"d")-90)*0.33)),
    COUNT(G220,J220)=2, (G220 +  DATEDIF(G220,J220,"d")*0.5),
    COUNT(G220,K220)=2, (G220 + (DATEDIF(G220,K220,"d")-90)*0.5),
    G220&lt;&gt;"", EDATE(G220, + L220*0.5),
    H220&lt;&gt;"", EDATE(H220, + L220*0.25),
    J220&lt;&gt;"", EDATE(J220, - L220*0.5),
    K220&lt;&gt;"", EDATE(K220, -((L220*0.5)+3)),
    TRUE, ""
)</f>
        <v/>
      </c>
      <c r="P220" s="45" t="str" cm="1">
        <f t="array" ref="P220">_xlfn.IFS(
    J220&lt;&gt;"", J220,
    K220&lt;&gt;"", EDATE(K220, -3),
    G220&lt;&gt;"", EDATE(G220, + L220),
    H220&lt;&gt;"", EDATE(H220, + L220*0.75),
    I220&lt;&gt;"", EDATE(I220, H L220*0.5),
    TRUE, ""
)</f>
        <v/>
      </c>
      <c r="Q220" s="45" t="str" cm="1">
        <f t="array" ref="Q220">_xlfn.IFS(
    K220&lt;&gt;"",K220,
    J220&lt;&gt;"",EDATE(J220,3),
    P220&lt;&gt;"",EDATE(P220,3),
    TRUE,""
)</f>
        <v/>
      </c>
    </row>
    <row r="221" spans="1:17" x14ac:dyDescent="0.3">
      <c r="A221" t="str">
        <f>IF(AND(Projects!A230="", Projects!B230=""), "", IF(Projects!A230="", "Unassigned", Projects!A230))</f>
        <v/>
      </c>
      <c r="B221" t="str">
        <f>IF(Projects!B230&lt;&gt;"",Projects!B230,"")</f>
        <v/>
      </c>
      <c r="C221" t="str">
        <f>IF(AND(Projects!C230="", Projects!B230=""), "", IF(Projects!C230="", "None", Projects!C230))</f>
        <v/>
      </c>
      <c r="D221" t="str">
        <f>IF(AND(Projects!D230="", Projects!B230=""), "", IF(Projects!D230="", "No OpCo", Projects!D230))</f>
        <v/>
      </c>
      <c r="E221" t="str">
        <f>IF(Projects!E230&lt;&gt;"",Projects!E230,"")</f>
        <v/>
      </c>
      <c r="F221" t="str">
        <f>IF(Projects!F230&lt;&gt;"",Projects!F230,"")</f>
        <v/>
      </c>
      <c r="G221" s="45" t="str">
        <f>IF(Projects!G230&lt;&gt;"",Projects!G230,"")</f>
        <v/>
      </c>
      <c r="H221" s="45" t="str">
        <f>IF(Projects!H230&lt;&gt;"",Projects!H230,"")</f>
        <v/>
      </c>
      <c r="I221" s="45" t="str">
        <f>IF(Projects!I230&lt;&gt;"",Projects!I230,"")</f>
        <v/>
      </c>
      <c r="J221" s="45" t="str">
        <f>IF(Projects!J230&lt;&gt;"",Projects!J230,"")</f>
        <v/>
      </c>
      <c r="K221" s="45" t="str">
        <f>IF(Projects!K230&lt;&gt;"",Projects!K230,"")</f>
        <v/>
      </c>
      <c r="L221" t="str">
        <f>IF(AND(Projects!E230&lt;&gt;"", Projects!F230&lt;&gt;""),
INDEX('Duration Table'!$D$7:$H$17,MATCH(Projects!E230,'Duration Table'!$C$7:$C$17,0),MATCH(Projects!F230,'Duration Table'!$D$6:$H$6)),
   ""
)</f>
        <v/>
      </c>
      <c r="M221" s="45" t="str" cm="1">
        <f t="array" ref="M221">_xlfn.IFS(
    G221&lt;&gt;"",G221,
    H221&lt;&gt;"",EDATE(H221,-0.25*L221),
    N221&lt;&gt;"",EDATE(N221,-0.25*L221),
    TRUE,""
)</f>
        <v/>
      </c>
      <c r="N221" s="45" t="str" cm="1">
        <f t="array" ref="N221">_xlfn.IFS(
    H221&lt;&gt;"", H221,
    COUNT(G221,I221)=2, (G221 + (DATEDIF(G221,I221,"d")*0.5)),
    COUNT(G221,J221)=2, (G221 + (DATEDIF(G221,J221,"d")*0.25)),
    COUNT(G221,K221)=2, (G221 + ((DATEDIF(G221,K221,"d")-90)*0.25)),
    COUNT(I221,J221)=2, (I221 -(DATEDIF(I221,J221,"d")*0.5)),
    COUNT(I221,K221)=2, (I221 -((DATEDIF(I221,K221,"d")-90)*0.5)),
    G221&lt;&gt;"", EDATE(G221, + L221*0.25),
    I221&lt;&gt;"", EDATE(I221, - L221*0.25),
    J221&lt;&gt;"", EDATE(J221, - L221*0.75),
    K221&lt;&gt;"", EDATE(K221, -((L221*0.75)+3)),
    TRUE, ""
)</f>
        <v/>
      </c>
      <c r="O221" s="45" t="str" cm="1">
        <f t="array" ref="O221">_xlfn.IFS(
    I221&lt;&gt;"", I221,
    COUNT(H221,J221)=2, (H221 + (DATEDIF(H221,J221,"d")*0.33)),
    COUNT(H221,K221)=2, (H221 + ((DATEDIF(H221,K221,"d")-90)*0.33)),
    COUNT(G221,J221)=2, (G221 +  DATEDIF(G221,J221,"d")*0.5),
    COUNT(G221,K221)=2, (G221 + (DATEDIF(G221,K221,"d")-90)*0.5),
    G221&lt;&gt;"", EDATE(G221, + L221*0.5),
    H221&lt;&gt;"", EDATE(H221, + L221*0.25),
    J221&lt;&gt;"", EDATE(J221, - L221*0.5),
    K221&lt;&gt;"", EDATE(K221, -((L221*0.5)+3)),
    TRUE, ""
)</f>
        <v/>
      </c>
      <c r="P221" s="45" t="str" cm="1">
        <f t="array" ref="P221">_xlfn.IFS(
    J221&lt;&gt;"", J221,
    K221&lt;&gt;"", EDATE(K221, -3),
    G221&lt;&gt;"", EDATE(G221, + L221),
    H221&lt;&gt;"", EDATE(H221, + L221*0.75),
    I221&lt;&gt;"", EDATE(I221, H L221*0.5),
    TRUE, ""
)</f>
        <v/>
      </c>
      <c r="Q221" s="45" t="str" cm="1">
        <f t="array" ref="Q221">_xlfn.IFS(
    K221&lt;&gt;"",K221,
    J221&lt;&gt;"",EDATE(J221,3),
    P221&lt;&gt;"",EDATE(P221,3),
    TRUE,""
)</f>
        <v/>
      </c>
    </row>
    <row r="222" spans="1:17" x14ac:dyDescent="0.3">
      <c r="A222" t="str">
        <f>IF(AND(Projects!A231="", Projects!B231=""), "", IF(Projects!A231="", "Unassigned", Projects!A231))</f>
        <v/>
      </c>
      <c r="B222" t="str">
        <f>IF(Projects!B231&lt;&gt;"",Projects!B231,"")</f>
        <v/>
      </c>
      <c r="C222" t="str">
        <f>IF(AND(Projects!C231="", Projects!B231=""), "", IF(Projects!C231="", "None", Projects!C231))</f>
        <v/>
      </c>
      <c r="D222" t="str">
        <f>IF(AND(Projects!D231="", Projects!B231=""), "", IF(Projects!D231="", "No OpCo", Projects!D231))</f>
        <v/>
      </c>
      <c r="E222" t="str">
        <f>IF(Projects!E231&lt;&gt;"",Projects!E231,"")</f>
        <v/>
      </c>
      <c r="F222" t="str">
        <f>IF(Projects!F231&lt;&gt;"",Projects!F231,"")</f>
        <v/>
      </c>
      <c r="G222" s="45" t="str">
        <f>IF(Projects!G231&lt;&gt;"",Projects!G231,"")</f>
        <v/>
      </c>
      <c r="H222" s="45" t="str">
        <f>IF(Projects!H231&lt;&gt;"",Projects!H231,"")</f>
        <v/>
      </c>
      <c r="I222" s="45" t="str">
        <f>IF(Projects!I231&lt;&gt;"",Projects!I231,"")</f>
        <v/>
      </c>
      <c r="J222" s="45" t="str">
        <f>IF(Projects!J231&lt;&gt;"",Projects!J231,"")</f>
        <v/>
      </c>
      <c r="K222" s="45" t="str">
        <f>IF(Projects!K231&lt;&gt;"",Projects!K231,"")</f>
        <v/>
      </c>
      <c r="L222" t="str">
        <f>IF(AND(Projects!E231&lt;&gt;"", Projects!F231&lt;&gt;""),
INDEX('Duration Table'!$D$7:$H$17,MATCH(Projects!E231,'Duration Table'!$C$7:$C$17,0),MATCH(Projects!F231,'Duration Table'!$D$6:$H$6)),
   ""
)</f>
        <v/>
      </c>
      <c r="M222" s="45" t="str" cm="1">
        <f t="array" ref="M222">_xlfn.IFS(
    G222&lt;&gt;"",G222,
    H222&lt;&gt;"",EDATE(H222,-0.25*L222),
    N222&lt;&gt;"",EDATE(N222,-0.25*L222),
    TRUE,""
)</f>
        <v/>
      </c>
      <c r="N222" s="45" t="str" cm="1">
        <f t="array" ref="N222">_xlfn.IFS(
    H222&lt;&gt;"", H222,
    COUNT(G222,I222)=2, (G222 + (DATEDIF(G222,I222,"d")*0.5)),
    COUNT(G222,J222)=2, (G222 + (DATEDIF(G222,J222,"d")*0.25)),
    COUNT(G222,K222)=2, (G222 + ((DATEDIF(G222,K222,"d")-90)*0.25)),
    COUNT(I222,J222)=2, (I222 -(DATEDIF(I222,J222,"d")*0.5)),
    COUNT(I222,K222)=2, (I222 -((DATEDIF(I222,K222,"d")-90)*0.5)),
    G222&lt;&gt;"", EDATE(G222, + L222*0.25),
    I222&lt;&gt;"", EDATE(I222, - L222*0.25),
    J222&lt;&gt;"", EDATE(J222, - L222*0.75),
    K222&lt;&gt;"", EDATE(K222, -((L222*0.75)+3)),
    TRUE, ""
)</f>
        <v/>
      </c>
      <c r="O222" s="45" t="str" cm="1">
        <f t="array" ref="O222">_xlfn.IFS(
    I222&lt;&gt;"", I222,
    COUNT(H222,J222)=2, (H222 + (DATEDIF(H222,J222,"d")*0.33)),
    COUNT(H222,K222)=2, (H222 + ((DATEDIF(H222,K222,"d")-90)*0.33)),
    COUNT(G222,J222)=2, (G222 +  DATEDIF(G222,J222,"d")*0.5),
    COUNT(G222,K222)=2, (G222 + (DATEDIF(G222,K222,"d")-90)*0.5),
    G222&lt;&gt;"", EDATE(G222, + L222*0.5),
    H222&lt;&gt;"", EDATE(H222, + L222*0.25),
    J222&lt;&gt;"", EDATE(J222, - L222*0.5),
    K222&lt;&gt;"", EDATE(K222, -((L222*0.5)+3)),
    TRUE, ""
)</f>
        <v/>
      </c>
      <c r="P222" s="45" t="str" cm="1">
        <f t="array" ref="P222">_xlfn.IFS(
    J222&lt;&gt;"", J222,
    K222&lt;&gt;"", EDATE(K222, -3),
    G222&lt;&gt;"", EDATE(G222, + L222),
    H222&lt;&gt;"", EDATE(H222, + L222*0.75),
    I222&lt;&gt;"", EDATE(I222, H L222*0.5),
    TRUE, ""
)</f>
        <v/>
      </c>
      <c r="Q222" s="45" t="str" cm="1">
        <f t="array" ref="Q222">_xlfn.IFS(
    K222&lt;&gt;"",K222,
    J222&lt;&gt;"",EDATE(J222,3),
    P222&lt;&gt;"",EDATE(P222,3),
    TRUE,""
)</f>
        <v/>
      </c>
    </row>
    <row r="223" spans="1:17" x14ac:dyDescent="0.3">
      <c r="A223" t="str">
        <f>IF(AND(Projects!A232="", Projects!B232=""), "", IF(Projects!A232="", "Unassigned", Projects!A232))</f>
        <v/>
      </c>
      <c r="B223" t="str">
        <f>IF(Projects!B232&lt;&gt;"",Projects!B232,"")</f>
        <v/>
      </c>
      <c r="C223" t="str">
        <f>IF(AND(Projects!C232="", Projects!B232=""), "", IF(Projects!C232="", "None", Projects!C232))</f>
        <v/>
      </c>
      <c r="D223" t="str">
        <f>IF(AND(Projects!D232="", Projects!B232=""), "", IF(Projects!D232="", "No OpCo", Projects!D232))</f>
        <v/>
      </c>
      <c r="E223" t="str">
        <f>IF(Projects!E232&lt;&gt;"",Projects!E232,"")</f>
        <v/>
      </c>
      <c r="F223" t="str">
        <f>IF(Projects!F232&lt;&gt;"",Projects!F232,"")</f>
        <v/>
      </c>
      <c r="G223" s="45" t="str">
        <f>IF(Projects!G232&lt;&gt;"",Projects!G232,"")</f>
        <v/>
      </c>
      <c r="H223" s="45" t="str">
        <f>IF(Projects!H232&lt;&gt;"",Projects!H232,"")</f>
        <v/>
      </c>
      <c r="I223" s="45" t="str">
        <f>IF(Projects!I232&lt;&gt;"",Projects!I232,"")</f>
        <v/>
      </c>
      <c r="J223" s="45" t="str">
        <f>IF(Projects!J232&lt;&gt;"",Projects!J232,"")</f>
        <v/>
      </c>
      <c r="K223" s="45" t="str">
        <f>IF(Projects!K232&lt;&gt;"",Projects!K232,"")</f>
        <v/>
      </c>
      <c r="L223" t="str">
        <f>IF(AND(Projects!E232&lt;&gt;"", Projects!F232&lt;&gt;""),
INDEX('Duration Table'!$D$7:$H$17,MATCH(Projects!E232,'Duration Table'!$C$7:$C$17,0),MATCH(Projects!F232,'Duration Table'!$D$6:$H$6)),
   ""
)</f>
        <v/>
      </c>
      <c r="M223" s="45" t="str" cm="1">
        <f t="array" ref="M223">_xlfn.IFS(
    G223&lt;&gt;"",G223,
    H223&lt;&gt;"",EDATE(H223,-0.25*L223),
    N223&lt;&gt;"",EDATE(N223,-0.25*L223),
    TRUE,""
)</f>
        <v/>
      </c>
      <c r="N223" s="45" t="str" cm="1">
        <f t="array" ref="N223">_xlfn.IFS(
    H223&lt;&gt;"", H223,
    COUNT(G223,I223)=2, (G223 + (DATEDIF(G223,I223,"d")*0.5)),
    COUNT(G223,J223)=2, (G223 + (DATEDIF(G223,J223,"d")*0.25)),
    COUNT(G223,K223)=2, (G223 + ((DATEDIF(G223,K223,"d")-90)*0.25)),
    COUNT(I223,J223)=2, (I223 -(DATEDIF(I223,J223,"d")*0.5)),
    COUNT(I223,K223)=2, (I223 -((DATEDIF(I223,K223,"d")-90)*0.5)),
    G223&lt;&gt;"", EDATE(G223, + L223*0.25),
    I223&lt;&gt;"", EDATE(I223, - L223*0.25),
    J223&lt;&gt;"", EDATE(J223, - L223*0.75),
    K223&lt;&gt;"", EDATE(K223, -((L223*0.75)+3)),
    TRUE, ""
)</f>
        <v/>
      </c>
      <c r="O223" s="45" t="str" cm="1">
        <f t="array" ref="O223">_xlfn.IFS(
    I223&lt;&gt;"", I223,
    COUNT(H223,J223)=2, (H223 + (DATEDIF(H223,J223,"d")*0.33)),
    COUNT(H223,K223)=2, (H223 + ((DATEDIF(H223,K223,"d")-90)*0.33)),
    COUNT(G223,J223)=2, (G223 +  DATEDIF(G223,J223,"d")*0.5),
    COUNT(G223,K223)=2, (G223 + (DATEDIF(G223,K223,"d")-90)*0.5),
    G223&lt;&gt;"", EDATE(G223, + L223*0.5),
    H223&lt;&gt;"", EDATE(H223, + L223*0.25),
    J223&lt;&gt;"", EDATE(J223, - L223*0.5),
    K223&lt;&gt;"", EDATE(K223, -((L223*0.5)+3)),
    TRUE, ""
)</f>
        <v/>
      </c>
      <c r="P223" s="45" t="str" cm="1">
        <f t="array" ref="P223">_xlfn.IFS(
    J223&lt;&gt;"", J223,
    K223&lt;&gt;"", EDATE(K223, -3),
    G223&lt;&gt;"", EDATE(G223, + L223),
    H223&lt;&gt;"", EDATE(H223, + L223*0.75),
    I223&lt;&gt;"", EDATE(I223, H L223*0.5),
    TRUE, ""
)</f>
        <v/>
      </c>
      <c r="Q223" s="45" t="str" cm="1">
        <f t="array" ref="Q223">_xlfn.IFS(
    K223&lt;&gt;"",K223,
    J223&lt;&gt;"",EDATE(J223,3),
    P223&lt;&gt;"",EDATE(P223,3),
    TRUE,""
)</f>
        <v/>
      </c>
    </row>
    <row r="224" spans="1:17" x14ac:dyDescent="0.3">
      <c r="A224" t="str">
        <f>IF(AND(Projects!A233="", Projects!B233=""), "", IF(Projects!A233="", "Unassigned", Projects!A233))</f>
        <v/>
      </c>
      <c r="B224" t="str">
        <f>IF(Projects!B233&lt;&gt;"",Projects!B233,"")</f>
        <v/>
      </c>
      <c r="C224" t="str">
        <f>IF(AND(Projects!C233="", Projects!B233=""), "", IF(Projects!C233="", "None", Projects!C233))</f>
        <v/>
      </c>
      <c r="D224" t="str">
        <f>IF(AND(Projects!D233="", Projects!B233=""), "", IF(Projects!D233="", "No OpCo", Projects!D233))</f>
        <v/>
      </c>
      <c r="E224" t="str">
        <f>IF(Projects!E233&lt;&gt;"",Projects!E233,"")</f>
        <v/>
      </c>
      <c r="F224" t="str">
        <f>IF(Projects!F233&lt;&gt;"",Projects!F233,"")</f>
        <v/>
      </c>
      <c r="G224" s="45" t="str">
        <f>IF(Projects!G233&lt;&gt;"",Projects!G233,"")</f>
        <v/>
      </c>
      <c r="H224" s="45" t="str">
        <f>IF(Projects!H233&lt;&gt;"",Projects!H233,"")</f>
        <v/>
      </c>
      <c r="I224" s="45" t="str">
        <f>IF(Projects!I233&lt;&gt;"",Projects!I233,"")</f>
        <v/>
      </c>
      <c r="J224" s="45" t="str">
        <f>IF(Projects!J233&lt;&gt;"",Projects!J233,"")</f>
        <v/>
      </c>
      <c r="K224" s="45" t="str">
        <f>IF(Projects!K233&lt;&gt;"",Projects!K233,"")</f>
        <v/>
      </c>
      <c r="L224" t="str">
        <f>IF(AND(Projects!E233&lt;&gt;"", Projects!F233&lt;&gt;""),
INDEX('Duration Table'!$D$7:$H$17,MATCH(Projects!E233,'Duration Table'!$C$7:$C$17,0),MATCH(Projects!F233,'Duration Table'!$D$6:$H$6)),
   ""
)</f>
        <v/>
      </c>
      <c r="M224" s="45" t="str" cm="1">
        <f t="array" ref="M224">_xlfn.IFS(
    G224&lt;&gt;"",G224,
    H224&lt;&gt;"",EDATE(H224,-0.25*L224),
    N224&lt;&gt;"",EDATE(N224,-0.25*L224),
    TRUE,""
)</f>
        <v/>
      </c>
      <c r="N224" s="45" t="str" cm="1">
        <f t="array" ref="N224">_xlfn.IFS(
    H224&lt;&gt;"", H224,
    COUNT(G224,I224)=2, (G224 + (DATEDIF(G224,I224,"d")*0.5)),
    COUNT(G224,J224)=2, (G224 + (DATEDIF(G224,J224,"d")*0.25)),
    COUNT(G224,K224)=2, (G224 + ((DATEDIF(G224,K224,"d")-90)*0.25)),
    COUNT(I224,J224)=2, (I224 -(DATEDIF(I224,J224,"d")*0.5)),
    COUNT(I224,K224)=2, (I224 -((DATEDIF(I224,K224,"d")-90)*0.5)),
    G224&lt;&gt;"", EDATE(G224, + L224*0.25),
    I224&lt;&gt;"", EDATE(I224, - L224*0.25),
    J224&lt;&gt;"", EDATE(J224, - L224*0.75),
    K224&lt;&gt;"", EDATE(K224, -((L224*0.75)+3)),
    TRUE, ""
)</f>
        <v/>
      </c>
      <c r="O224" s="45" t="str" cm="1">
        <f t="array" ref="O224">_xlfn.IFS(
    I224&lt;&gt;"", I224,
    COUNT(H224,J224)=2, (H224 + (DATEDIF(H224,J224,"d")*0.33)),
    COUNT(H224,K224)=2, (H224 + ((DATEDIF(H224,K224,"d")-90)*0.33)),
    COUNT(G224,J224)=2, (G224 +  DATEDIF(G224,J224,"d")*0.5),
    COUNT(G224,K224)=2, (G224 + (DATEDIF(G224,K224,"d")-90)*0.5),
    G224&lt;&gt;"", EDATE(G224, + L224*0.5),
    H224&lt;&gt;"", EDATE(H224, + L224*0.25),
    J224&lt;&gt;"", EDATE(J224, - L224*0.5),
    K224&lt;&gt;"", EDATE(K224, -((L224*0.5)+3)),
    TRUE, ""
)</f>
        <v/>
      </c>
      <c r="P224" s="45" t="str" cm="1">
        <f t="array" ref="P224">_xlfn.IFS(
    J224&lt;&gt;"", J224,
    K224&lt;&gt;"", EDATE(K224, -3),
    G224&lt;&gt;"", EDATE(G224, + L224),
    H224&lt;&gt;"", EDATE(H224, + L224*0.75),
    I224&lt;&gt;"", EDATE(I224, H L224*0.5),
    TRUE, ""
)</f>
        <v/>
      </c>
      <c r="Q224" s="45" t="str" cm="1">
        <f t="array" ref="Q224">_xlfn.IFS(
    K224&lt;&gt;"",K224,
    J224&lt;&gt;"",EDATE(J224,3),
    P224&lt;&gt;"",EDATE(P224,3),
    TRUE,""
)</f>
        <v/>
      </c>
    </row>
    <row r="225" spans="1:17" x14ac:dyDescent="0.3">
      <c r="A225" t="str">
        <f>IF(AND(Projects!A234="", Projects!B234=""), "", IF(Projects!A234="", "Unassigned", Projects!A234))</f>
        <v/>
      </c>
      <c r="B225" t="str">
        <f>IF(Projects!B234&lt;&gt;"",Projects!B234,"")</f>
        <v/>
      </c>
      <c r="C225" t="str">
        <f>IF(AND(Projects!C234="", Projects!B234=""), "", IF(Projects!C234="", "None", Projects!C234))</f>
        <v/>
      </c>
      <c r="D225" t="str">
        <f>IF(AND(Projects!D234="", Projects!B234=""), "", IF(Projects!D234="", "No OpCo", Projects!D234))</f>
        <v/>
      </c>
      <c r="E225" t="str">
        <f>IF(Projects!E234&lt;&gt;"",Projects!E234,"")</f>
        <v/>
      </c>
      <c r="F225" t="str">
        <f>IF(Projects!F234&lt;&gt;"",Projects!F234,"")</f>
        <v/>
      </c>
      <c r="G225" s="45" t="str">
        <f>IF(Projects!G234&lt;&gt;"",Projects!G234,"")</f>
        <v/>
      </c>
      <c r="H225" s="45" t="str">
        <f>IF(Projects!H234&lt;&gt;"",Projects!H234,"")</f>
        <v/>
      </c>
      <c r="I225" s="45" t="str">
        <f>IF(Projects!I234&lt;&gt;"",Projects!I234,"")</f>
        <v/>
      </c>
      <c r="J225" s="45" t="str">
        <f>IF(Projects!J234&lt;&gt;"",Projects!J234,"")</f>
        <v/>
      </c>
      <c r="K225" s="45" t="str">
        <f>IF(Projects!K234&lt;&gt;"",Projects!K234,"")</f>
        <v/>
      </c>
      <c r="L225" t="str">
        <f>IF(AND(Projects!E234&lt;&gt;"", Projects!F234&lt;&gt;""),
INDEX('Duration Table'!$D$7:$H$17,MATCH(Projects!E234,'Duration Table'!$C$7:$C$17,0),MATCH(Projects!F234,'Duration Table'!$D$6:$H$6)),
   ""
)</f>
        <v/>
      </c>
      <c r="M225" s="45" t="str" cm="1">
        <f t="array" ref="M225">_xlfn.IFS(
    G225&lt;&gt;"",G225,
    H225&lt;&gt;"",EDATE(H225,-0.25*L225),
    N225&lt;&gt;"",EDATE(N225,-0.25*L225),
    TRUE,""
)</f>
        <v/>
      </c>
      <c r="N225" s="45" t="str" cm="1">
        <f t="array" ref="N225">_xlfn.IFS(
    H225&lt;&gt;"", H225,
    COUNT(G225,I225)=2, (G225 + (DATEDIF(G225,I225,"d")*0.5)),
    COUNT(G225,J225)=2, (G225 + (DATEDIF(G225,J225,"d")*0.25)),
    COUNT(G225,K225)=2, (G225 + ((DATEDIF(G225,K225,"d")-90)*0.25)),
    COUNT(I225,J225)=2, (I225 -(DATEDIF(I225,J225,"d")*0.5)),
    COUNT(I225,K225)=2, (I225 -((DATEDIF(I225,K225,"d")-90)*0.5)),
    G225&lt;&gt;"", EDATE(G225, + L225*0.25),
    I225&lt;&gt;"", EDATE(I225, - L225*0.25),
    J225&lt;&gt;"", EDATE(J225, - L225*0.75),
    K225&lt;&gt;"", EDATE(K225, -((L225*0.75)+3)),
    TRUE, ""
)</f>
        <v/>
      </c>
      <c r="O225" s="45" t="str" cm="1">
        <f t="array" ref="O225">_xlfn.IFS(
    I225&lt;&gt;"", I225,
    COUNT(H225,J225)=2, (H225 + (DATEDIF(H225,J225,"d")*0.33)),
    COUNT(H225,K225)=2, (H225 + ((DATEDIF(H225,K225,"d")-90)*0.33)),
    COUNT(G225,J225)=2, (G225 +  DATEDIF(G225,J225,"d")*0.5),
    COUNT(G225,K225)=2, (G225 + (DATEDIF(G225,K225,"d")-90)*0.5),
    G225&lt;&gt;"", EDATE(G225, + L225*0.5),
    H225&lt;&gt;"", EDATE(H225, + L225*0.25),
    J225&lt;&gt;"", EDATE(J225, - L225*0.5),
    K225&lt;&gt;"", EDATE(K225, -((L225*0.5)+3)),
    TRUE, ""
)</f>
        <v/>
      </c>
      <c r="P225" s="45" t="str" cm="1">
        <f t="array" ref="P225">_xlfn.IFS(
    J225&lt;&gt;"", J225,
    K225&lt;&gt;"", EDATE(K225, -3),
    G225&lt;&gt;"", EDATE(G225, + L225),
    H225&lt;&gt;"", EDATE(H225, + L225*0.75),
    I225&lt;&gt;"", EDATE(I225, H L225*0.5),
    TRUE, ""
)</f>
        <v/>
      </c>
      <c r="Q225" s="45" t="str" cm="1">
        <f t="array" ref="Q225">_xlfn.IFS(
    K225&lt;&gt;"",K225,
    J225&lt;&gt;"",EDATE(J225,3),
    P225&lt;&gt;"",EDATE(P225,3),
    TRUE,""
)</f>
        <v/>
      </c>
    </row>
    <row r="226" spans="1:17" x14ac:dyDescent="0.3">
      <c r="A226" t="str">
        <f>IF(AND(Projects!A235="", Projects!B235=""), "", IF(Projects!A235="", "Unassigned", Projects!A235))</f>
        <v/>
      </c>
      <c r="B226" t="str">
        <f>IF(Projects!B235&lt;&gt;"",Projects!B235,"")</f>
        <v/>
      </c>
      <c r="C226" t="str">
        <f>IF(AND(Projects!C235="", Projects!B235=""), "", IF(Projects!C235="", "None", Projects!C235))</f>
        <v/>
      </c>
      <c r="D226" t="str">
        <f>IF(AND(Projects!D235="", Projects!B235=""), "", IF(Projects!D235="", "No OpCo", Projects!D235))</f>
        <v/>
      </c>
      <c r="E226" t="str">
        <f>IF(Projects!E235&lt;&gt;"",Projects!E235,"")</f>
        <v/>
      </c>
      <c r="F226" t="str">
        <f>IF(Projects!F235&lt;&gt;"",Projects!F235,"")</f>
        <v/>
      </c>
      <c r="G226" s="45" t="str">
        <f>IF(Projects!G235&lt;&gt;"",Projects!G235,"")</f>
        <v/>
      </c>
      <c r="H226" s="45" t="str">
        <f>IF(Projects!H235&lt;&gt;"",Projects!H235,"")</f>
        <v/>
      </c>
      <c r="I226" s="45" t="str">
        <f>IF(Projects!I235&lt;&gt;"",Projects!I235,"")</f>
        <v/>
      </c>
      <c r="J226" s="45" t="str">
        <f>IF(Projects!J235&lt;&gt;"",Projects!J235,"")</f>
        <v/>
      </c>
      <c r="K226" s="45" t="str">
        <f>IF(Projects!K235&lt;&gt;"",Projects!K235,"")</f>
        <v/>
      </c>
      <c r="L226" t="str">
        <f>IF(AND(Projects!E235&lt;&gt;"", Projects!F235&lt;&gt;""),
INDEX('Duration Table'!$D$7:$H$17,MATCH(Projects!E235,'Duration Table'!$C$7:$C$17,0),MATCH(Projects!F235,'Duration Table'!$D$6:$H$6)),
   ""
)</f>
        <v/>
      </c>
      <c r="M226" s="45" t="str" cm="1">
        <f t="array" ref="M226">_xlfn.IFS(
    G226&lt;&gt;"",G226,
    H226&lt;&gt;"",EDATE(H226,-0.25*L226),
    N226&lt;&gt;"",EDATE(N226,-0.25*L226),
    TRUE,""
)</f>
        <v/>
      </c>
      <c r="N226" s="45" t="str" cm="1">
        <f t="array" ref="N226">_xlfn.IFS(
    H226&lt;&gt;"", H226,
    COUNT(G226,I226)=2, (G226 + (DATEDIF(G226,I226,"d")*0.5)),
    COUNT(G226,J226)=2, (G226 + (DATEDIF(G226,J226,"d")*0.25)),
    COUNT(G226,K226)=2, (G226 + ((DATEDIF(G226,K226,"d")-90)*0.25)),
    COUNT(I226,J226)=2, (I226 -(DATEDIF(I226,J226,"d")*0.5)),
    COUNT(I226,K226)=2, (I226 -((DATEDIF(I226,K226,"d")-90)*0.5)),
    G226&lt;&gt;"", EDATE(G226, + L226*0.25),
    I226&lt;&gt;"", EDATE(I226, - L226*0.25),
    J226&lt;&gt;"", EDATE(J226, - L226*0.75),
    K226&lt;&gt;"", EDATE(K226, -((L226*0.75)+3)),
    TRUE, ""
)</f>
        <v/>
      </c>
      <c r="O226" s="45" t="str" cm="1">
        <f t="array" ref="O226">_xlfn.IFS(
    I226&lt;&gt;"", I226,
    COUNT(H226,J226)=2, (H226 + (DATEDIF(H226,J226,"d")*0.33)),
    COUNT(H226,K226)=2, (H226 + ((DATEDIF(H226,K226,"d")-90)*0.33)),
    COUNT(G226,J226)=2, (G226 +  DATEDIF(G226,J226,"d")*0.5),
    COUNT(G226,K226)=2, (G226 + (DATEDIF(G226,K226,"d")-90)*0.5),
    G226&lt;&gt;"", EDATE(G226, + L226*0.5),
    H226&lt;&gt;"", EDATE(H226, + L226*0.25),
    J226&lt;&gt;"", EDATE(J226, - L226*0.5),
    K226&lt;&gt;"", EDATE(K226, -((L226*0.5)+3)),
    TRUE, ""
)</f>
        <v/>
      </c>
      <c r="P226" s="45" t="str" cm="1">
        <f t="array" ref="P226">_xlfn.IFS(
    J226&lt;&gt;"", J226,
    K226&lt;&gt;"", EDATE(K226, -3),
    G226&lt;&gt;"", EDATE(G226, + L226),
    H226&lt;&gt;"", EDATE(H226, + L226*0.75),
    I226&lt;&gt;"", EDATE(I226, H L226*0.5),
    TRUE, ""
)</f>
        <v/>
      </c>
      <c r="Q226" s="45" t="str" cm="1">
        <f t="array" ref="Q226">_xlfn.IFS(
    K226&lt;&gt;"",K226,
    J226&lt;&gt;"",EDATE(J226,3),
    P226&lt;&gt;"",EDATE(P226,3),
    TRUE,""
)</f>
        <v/>
      </c>
    </row>
    <row r="227" spans="1:17" x14ac:dyDescent="0.3">
      <c r="A227" t="str">
        <f>IF(AND(Projects!A236="", Projects!B236=""), "", IF(Projects!A236="", "Unassigned", Projects!A236))</f>
        <v/>
      </c>
      <c r="B227" t="str">
        <f>IF(Projects!B236&lt;&gt;"",Projects!B236,"")</f>
        <v/>
      </c>
      <c r="C227" t="str">
        <f>IF(AND(Projects!C236="", Projects!B236=""), "", IF(Projects!C236="", "None", Projects!C236))</f>
        <v/>
      </c>
      <c r="D227" t="str">
        <f>IF(AND(Projects!D236="", Projects!B236=""), "", IF(Projects!D236="", "No OpCo", Projects!D236))</f>
        <v/>
      </c>
      <c r="E227" t="str">
        <f>IF(Projects!E236&lt;&gt;"",Projects!E236,"")</f>
        <v/>
      </c>
      <c r="F227" t="str">
        <f>IF(Projects!F236&lt;&gt;"",Projects!F236,"")</f>
        <v/>
      </c>
      <c r="G227" s="45" t="str">
        <f>IF(Projects!G236&lt;&gt;"",Projects!G236,"")</f>
        <v/>
      </c>
      <c r="H227" s="45" t="str">
        <f>IF(Projects!H236&lt;&gt;"",Projects!H236,"")</f>
        <v/>
      </c>
      <c r="I227" s="45" t="str">
        <f>IF(Projects!I236&lt;&gt;"",Projects!I236,"")</f>
        <v/>
      </c>
      <c r="J227" s="45" t="str">
        <f>IF(Projects!J236&lt;&gt;"",Projects!J236,"")</f>
        <v/>
      </c>
      <c r="K227" s="45" t="str">
        <f>IF(Projects!K236&lt;&gt;"",Projects!K236,"")</f>
        <v/>
      </c>
      <c r="L227" t="str">
        <f>IF(AND(Projects!E236&lt;&gt;"", Projects!F236&lt;&gt;""),
INDEX('Duration Table'!$D$7:$H$17,MATCH(Projects!E236,'Duration Table'!$C$7:$C$17,0),MATCH(Projects!F236,'Duration Table'!$D$6:$H$6)),
   ""
)</f>
        <v/>
      </c>
      <c r="M227" s="45" t="str" cm="1">
        <f t="array" ref="M227">_xlfn.IFS(
    G227&lt;&gt;"",G227,
    H227&lt;&gt;"",EDATE(H227,-0.25*L227),
    N227&lt;&gt;"",EDATE(N227,-0.25*L227),
    TRUE,""
)</f>
        <v/>
      </c>
      <c r="N227" s="45" t="str" cm="1">
        <f t="array" ref="N227">_xlfn.IFS(
    H227&lt;&gt;"", H227,
    COUNT(G227,I227)=2, (G227 + (DATEDIF(G227,I227,"d")*0.5)),
    COUNT(G227,J227)=2, (G227 + (DATEDIF(G227,J227,"d")*0.25)),
    COUNT(G227,K227)=2, (G227 + ((DATEDIF(G227,K227,"d")-90)*0.25)),
    COUNT(I227,J227)=2, (I227 -(DATEDIF(I227,J227,"d")*0.5)),
    COUNT(I227,K227)=2, (I227 -((DATEDIF(I227,K227,"d")-90)*0.5)),
    G227&lt;&gt;"", EDATE(G227, + L227*0.25),
    I227&lt;&gt;"", EDATE(I227, - L227*0.25),
    J227&lt;&gt;"", EDATE(J227, - L227*0.75),
    K227&lt;&gt;"", EDATE(K227, -((L227*0.75)+3)),
    TRUE, ""
)</f>
        <v/>
      </c>
      <c r="O227" s="45" t="str" cm="1">
        <f t="array" ref="O227">_xlfn.IFS(
    I227&lt;&gt;"", I227,
    COUNT(H227,J227)=2, (H227 + (DATEDIF(H227,J227,"d")*0.33)),
    COUNT(H227,K227)=2, (H227 + ((DATEDIF(H227,K227,"d")-90)*0.33)),
    COUNT(G227,J227)=2, (G227 +  DATEDIF(G227,J227,"d")*0.5),
    COUNT(G227,K227)=2, (G227 + (DATEDIF(G227,K227,"d")-90)*0.5),
    G227&lt;&gt;"", EDATE(G227, + L227*0.5),
    H227&lt;&gt;"", EDATE(H227, + L227*0.25),
    J227&lt;&gt;"", EDATE(J227, - L227*0.5),
    K227&lt;&gt;"", EDATE(K227, -((L227*0.5)+3)),
    TRUE, ""
)</f>
        <v/>
      </c>
      <c r="P227" s="45" t="str" cm="1">
        <f t="array" ref="P227">_xlfn.IFS(
    J227&lt;&gt;"", J227,
    K227&lt;&gt;"", EDATE(K227, -3),
    G227&lt;&gt;"", EDATE(G227, + L227),
    H227&lt;&gt;"", EDATE(H227, + L227*0.75),
    I227&lt;&gt;"", EDATE(I227, H L227*0.5),
    TRUE, ""
)</f>
        <v/>
      </c>
      <c r="Q227" s="45" t="str" cm="1">
        <f t="array" ref="Q227">_xlfn.IFS(
    K227&lt;&gt;"",K227,
    J227&lt;&gt;"",EDATE(J227,3),
    P227&lt;&gt;"",EDATE(P227,3),
    TRUE,""
)</f>
        <v/>
      </c>
    </row>
    <row r="228" spans="1:17" x14ac:dyDescent="0.3">
      <c r="A228" t="str">
        <f>IF(AND(Projects!A237="", Projects!B237=""), "", IF(Projects!A237="", "Unassigned", Projects!A237))</f>
        <v/>
      </c>
      <c r="B228" t="str">
        <f>IF(Projects!B237&lt;&gt;"",Projects!B237,"")</f>
        <v/>
      </c>
      <c r="C228" t="str">
        <f>IF(AND(Projects!C237="", Projects!B237=""), "", IF(Projects!C237="", "None", Projects!C237))</f>
        <v/>
      </c>
      <c r="D228" t="str">
        <f>IF(AND(Projects!D237="", Projects!B237=""), "", IF(Projects!D237="", "No OpCo", Projects!D237))</f>
        <v/>
      </c>
      <c r="E228" t="str">
        <f>IF(Projects!E237&lt;&gt;"",Projects!E237,"")</f>
        <v/>
      </c>
      <c r="F228" t="str">
        <f>IF(Projects!F237&lt;&gt;"",Projects!F237,"")</f>
        <v/>
      </c>
      <c r="G228" s="45" t="str">
        <f>IF(Projects!G237&lt;&gt;"",Projects!G237,"")</f>
        <v/>
      </c>
      <c r="H228" s="45" t="str">
        <f>IF(Projects!H237&lt;&gt;"",Projects!H237,"")</f>
        <v/>
      </c>
      <c r="I228" s="45" t="str">
        <f>IF(Projects!I237&lt;&gt;"",Projects!I237,"")</f>
        <v/>
      </c>
      <c r="J228" s="45" t="str">
        <f>IF(Projects!J237&lt;&gt;"",Projects!J237,"")</f>
        <v/>
      </c>
      <c r="K228" s="45" t="str">
        <f>IF(Projects!K237&lt;&gt;"",Projects!K237,"")</f>
        <v/>
      </c>
      <c r="L228" t="str">
        <f>IF(AND(Projects!E237&lt;&gt;"", Projects!F237&lt;&gt;""),
INDEX('Duration Table'!$D$7:$H$17,MATCH(Projects!E237,'Duration Table'!$C$7:$C$17,0),MATCH(Projects!F237,'Duration Table'!$D$6:$H$6)),
   ""
)</f>
        <v/>
      </c>
      <c r="M228" s="45" t="str" cm="1">
        <f t="array" ref="M228">_xlfn.IFS(
    G228&lt;&gt;"",G228,
    H228&lt;&gt;"",EDATE(H228,-0.25*L228),
    N228&lt;&gt;"",EDATE(N228,-0.25*L228),
    TRUE,""
)</f>
        <v/>
      </c>
      <c r="N228" s="45" t="str" cm="1">
        <f t="array" ref="N228">_xlfn.IFS(
    H228&lt;&gt;"", H228,
    COUNT(G228,I228)=2, (G228 + (DATEDIF(G228,I228,"d")*0.5)),
    COUNT(G228,J228)=2, (G228 + (DATEDIF(G228,J228,"d")*0.25)),
    COUNT(G228,K228)=2, (G228 + ((DATEDIF(G228,K228,"d")-90)*0.25)),
    COUNT(I228,J228)=2, (I228 -(DATEDIF(I228,J228,"d")*0.5)),
    COUNT(I228,K228)=2, (I228 -((DATEDIF(I228,K228,"d")-90)*0.5)),
    G228&lt;&gt;"", EDATE(G228, + L228*0.25),
    I228&lt;&gt;"", EDATE(I228, - L228*0.25),
    J228&lt;&gt;"", EDATE(J228, - L228*0.75),
    K228&lt;&gt;"", EDATE(K228, -((L228*0.75)+3)),
    TRUE, ""
)</f>
        <v/>
      </c>
      <c r="O228" s="45" t="str" cm="1">
        <f t="array" ref="O228">_xlfn.IFS(
    I228&lt;&gt;"", I228,
    COUNT(H228,J228)=2, (H228 + (DATEDIF(H228,J228,"d")*0.33)),
    COUNT(H228,K228)=2, (H228 + ((DATEDIF(H228,K228,"d")-90)*0.33)),
    COUNT(G228,J228)=2, (G228 +  DATEDIF(G228,J228,"d")*0.5),
    COUNT(G228,K228)=2, (G228 + (DATEDIF(G228,K228,"d")-90)*0.5),
    G228&lt;&gt;"", EDATE(G228, + L228*0.5),
    H228&lt;&gt;"", EDATE(H228, + L228*0.25),
    J228&lt;&gt;"", EDATE(J228, - L228*0.5),
    K228&lt;&gt;"", EDATE(K228, -((L228*0.5)+3)),
    TRUE, ""
)</f>
        <v/>
      </c>
      <c r="P228" s="45" t="str" cm="1">
        <f t="array" ref="P228">_xlfn.IFS(
    J228&lt;&gt;"", J228,
    K228&lt;&gt;"", EDATE(K228, -3),
    G228&lt;&gt;"", EDATE(G228, + L228),
    H228&lt;&gt;"", EDATE(H228, + L228*0.75),
    I228&lt;&gt;"", EDATE(I228, H L228*0.5),
    TRUE, ""
)</f>
        <v/>
      </c>
      <c r="Q228" s="45" t="str" cm="1">
        <f t="array" ref="Q228">_xlfn.IFS(
    K228&lt;&gt;"",K228,
    J228&lt;&gt;"",EDATE(J228,3),
    P228&lt;&gt;"",EDATE(P228,3),
    TRUE,""
)</f>
        <v/>
      </c>
    </row>
    <row r="229" spans="1:17" x14ac:dyDescent="0.3">
      <c r="A229" t="str">
        <f>IF(AND(Projects!A238="", Projects!B238=""), "", IF(Projects!A238="", "Unassigned", Projects!A238))</f>
        <v/>
      </c>
      <c r="B229" t="str">
        <f>IF(Projects!B238&lt;&gt;"",Projects!B238,"")</f>
        <v/>
      </c>
      <c r="C229" t="str">
        <f>IF(AND(Projects!C238="", Projects!B238=""), "", IF(Projects!C238="", "None", Projects!C238))</f>
        <v/>
      </c>
      <c r="D229" t="str">
        <f>IF(AND(Projects!D238="", Projects!B238=""), "", IF(Projects!D238="", "No OpCo", Projects!D238))</f>
        <v/>
      </c>
      <c r="E229" t="str">
        <f>IF(Projects!E238&lt;&gt;"",Projects!E238,"")</f>
        <v/>
      </c>
      <c r="F229" t="str">
        <f>IF(Projects!F238&lt;&gt;"",Projects!F238,"")</f>
        <v/>
      </c>
      <c r="G229" s="45" t="str">
        <f>IF(Projects!G238&lt;&gt;"",Projects!G238,"")</f>
        <v/>
      </c>
      <c r="H229" s="45" t="str">
        <f>IF(Projects!H238&lt;&gt;"",Projects!H238,"")</f>
        <v/>
      </c>
      <c r="I229" s="45" t="str">
        <f>IF(Projects!I238&lt;&gt;"",Projects!I238,"")</f>
        <v/>
      </c>
      <c r="J229" s="45" t="str">
        <f>IF(Projects!J238&lt;&gt;"",Projects!J238,"")</f>
        <v/>
      </c>
      <c r="K229" s="45" t="str">
        <f>IF(Projects!K238&lt;&gt;"",Projects!K238,"")</f>
        <v/>
      </c>
      <c r="L229" t="str">
        <f>IF(AND(Projects!E238&lt;&gt;"", Projects!F238&lt;&gt;""),
INDEX('Duration Table'!$D$7:$H$17,MATCH(Projects!E238,'Duration Table'!$C$7:$C$17,0),MATCH(Projects!F238,'Duration Table'!$D$6:$H$6)),
   ""
)</f>
        <v/>
      </c>
      <c r="M229" s="45" t="str" cm="1">
        <f t="array" ref="M229">_xlfn.IFS(
    G229&lt;&gt;"",G229,
    H229&lt;&gt;"",EDATE(H229,-0.25*L229),
    N229&lt;&gt;"",EDATE(N229,-0.25*L229),
    TRUE,""
)</f>
        <v/>
      </c>
      <c r="N229" s="45" t="str" cm="1">
        <f t="array" ref="N229">_xlfn.IFS(
    H229&lt;&gt;"", H229,
    COUNT(G229,I229)=2, (G229 + (DATEDIF(G229,I229,"d")*0.5)),
    COUNT(G229,J229)=2, (G229 + (DATEDIF(G229,J229,"d")*0.25)),
    COUNT(G229,K229)=2, (G229 + ((DATEDIF(G229,K229,"d")-90)*0.25)),
    COUNT(I229,J229)=2, (I229 -(DATEDIF(I229,J229,"d")*0.5)),
    COUNT(I229,K229)=2, (I229 -((DATEDIF(I229,K229,"d")-90)*0.5)),
    G229&lt;&gt;"", EDATE(G229, + L229*0.25),
    I229&lt;&gt;"", EDATE(I229, - L229*0.25),
    J229&lt;&gt;"", EDATE(J229, - L229*0.75),
    K229&lt;&gt;"", EDATE(K229, -((L229*0.75)+3)),
    TRUE, ""
)</f>
        <v/>
      </c>
      <c r="O229" s="45" t="str" cm="1">
        <f t="array" ref="O229">_xlfn.IFS(
    I229&lt;&gt;"", I229,
    COUNT(H229,J229)=2, (H229 + (DATEDIF(H229,J229,"d")*0.33)),
    COUNT(H229,K229)=2, (H229 + ((DATEDIF(H229,K229,"d")-90)*0.33)),
    COUNT(G229,J229)=2, (G229 +  DATEDIF(G229,J229,"d")*0.5),
    COUNT(G229,K229)=2, (G229 + (DATEDIF(G229,K229,"d")-90)*0.5),
    G229&lt;&gt;"", EDATE(G229, + L229*0.5),
    H229&lt;&gt;"", EDATE(H229, + L229*0.25),
    J229&lt;&gt;"", EDATE(J229, - L229*0.5),
    K229&lt;&gt;"", EDATE(K229, -((L229*0.5)+3)),
    TRUE, ""
)</f>
        <v/>
      </c>
      <c r="P229" s="45" t="str" cm="1">
        <f t="array" ref="P229">_xlfn.IFS(
    J229&lt;&gt;"", J229,
    K229&lt;&gt;"", EDATE(K229, -3),
    G229&lt;&gt;"", EDATE(G229, + L229),
    H229&lt;&gt;"", EDATE(H229, + L229*0.75),
    I229&lt;&gt;"", EDATE(I229, H L229*0.5),
    TRUE, ""
)</f>
        <v/>
      </c>
      <c r="Q229" s="45" t="str" cm="1">
        <f t="array" ref="Q229">_xlfn.IFS(
    K229&lt;&gt;"",K229,
    J229&lt;&gt;"",EDATE(J229,3),
    P229&lt;&gt;"",EDATE(P229,3),
    TRUE,""
)</f>
        <v/>
      </c>
    </row>
    <row r="230" spans="1:17" x14ac:dyDescent="0.3">
      <c r="A230" t="str">
        <f>IF(AND(Projects!A239="", Projects!B239=""), "", IF(Projects!A239="", "Unassigned", Projects!A239))</f>
        <v/>
      </c>
      <c r="B230" t="str">
        <f>IF(Projects!B239&lt;&gt;"",Projects!B239,"")</f>
        <v/>
      </c>
      <c r="C230" t="str">
        <f>IF(AND(Projects!C239="", Projects!B239=""), "", IF(Projects!C239="", "None", Projects!C239))</f>
        <v/>
      </c>
      <c r="D230" t="str">
        <f>IF(AND(Projects!D239="", Projects!B239=""), "", IF(Projects!D239="", "No OpCo", Projects!D239))</f>
        <v/>
      </c>
      <c r="E230" t="str">
        <f>IF(Projects!E239&lt;&gt;"",Projects!E239,"")</f>
        <v/>
      </c>
      <c r="F230" t="str">
        <f>IF(Projects!F239&lt;&gt;"",Projects!F239,"")</f>
        <v/>
      </c>
      <c r="G230" s="45" t="str">
        <f>IF(Projects!G239&lt;&gt;"",Projects!G239,"")</f>
        <v/>
      </c>
      <c r="H230" s="45" t="str">
        <f>IF(Projects!H239&lt;&gt;"",Projects!H239,"")</f>
        <v/>
      </c>
      <c r="I230" s="45" t="str">
        <f>IF(Projects!I239&lt;&gt;"",Projects!I239,"")</f>
        <v/>
      </c>
      <c r="J230" s="45" t="str">
        <f>IF(Projects!J239&lt;&gt;"",Projects!J239,"")</f>
        <v/>
      </c>
      <c r="K230" s="45" t="str">
        <f>IF(Projects!K239&lt;&gt;"",Projects!K239,"")</f>
        <v/>
      </c>
      <c r="L230" t="str">
        <f>IF(AND(Projects!E239&lt;&gt;"", Projects!F239&lt;&gt;""),
INDEX('Duration Table'!$D$7:$H$17,MATCH(Projects!E239,'Duration Table'!$C$7:$C$17,0),MATCH(Projects!F239,'Duration Table'!$D$6:$H$6)),
   ""
)</f>
        <v/>
      </c>
      <c r="M230" s="45" t="str" cm="1">
        <f t="array" ref="M230">_xlfn.IFS(
    G230&lt;&gt;"",G230,
    H230&lt;&gt;"",EDATE(H230,-0.25*L230),
    N230&lt;&gt;"",EDATE(N230,-0.25*L230),
    TRUE,""
)</f>
        <v/>
      </c>
      <c r="N230" s="45" t="str" cm="1">
        <f t="array" ref="N230">_xlfn.IFS(
    H230&lt;&gt;"", H230,
    COUNT(G230,I230)=2, (G230 + (DATEDIF(G230,I230,"d")*0.5)),
    COUNT(G230,J230)=2, (G230 + (DATEDIF(G230,J230,"d")*0.25)),
    COUNT(G230,K230)=2, (G230 + ((DATEDIF(G230,K230,"d")-90)*0.25)),
    COUNT(I230,J230)=2, (I230 -(DATEDIF(I230,J230,"d")*0.5)),
    COUNT(I230,K230)=2, (I230 -((DATEDIF(I230,K230,"d")-90)*0.5)),
    G230&lt;&gt;"", EDATE(G230, + L230*0.25),
    I230&lt;&gt;"", EDATE(I230, - L230*0.25),
    J230&lt;&gt;"", EDATE(J230, - L230*0.75),
    K230&lt;&gt;"", EDATE(K230, -((L230*0.75)+3)),
    TRUE, ""
)</f>
        <v/>
      </c>
      <c r="O230" s="45" t="str" cm="1">
        <f t="array" ref="O230">_xlfn.IFS(
    I230&lt;&gt;"", I230,
    COUNT(H230,J230)=2, (H230 + (DATEDIF(H230,J230,"d")*0.33)),
    COUNT(H230,K230)=2, (H230 + ((DATEDIF(H230,K230,"d")-90)*0.33)),
    COUNT(G230,J230)=2, (G230 +  DATEDIF(G230,J230,"d")*0.5),
    COUNT(G230,K230)=2, (G230 + (DATEDIF(G230,K230,"d")-90)*0.5),
    G230&lt;&gt;"", EDATE(G230, + L230*0.5),
    H230&lt;&gt;"", EDATE(H230, + L230*0.25),
    J230&lt;&gt;"", EDATE(J230, - L230*0.5),
    K230&lt;&gt;"", EDATE(K230, -((L230*0.5)+3)),
    TRUE, ""
)</f>
        <v/>
      </c>
      <c r="P230" s="45" t="str" cm="1">
        <f t="array" ref="P230">_xlfn.IFS(
    J230&lt;&gt;"", J230,
    K230&lt;&gt;"", EDATE(K230, -3),
    G230&lt;&gt;"", EDATE(G230, + L230),
    H230&lt;&gt;"", EDATE(H230, + L230*0.75),
    I230&lt;&gt;"", EDATE(I230, H L230*0.5),
    TRUE, ""
)</f>
        <v/>
      </c>
      <c r="Q230" s="45" t="str" cm="1">
        <f t="array" ref="Q230">_xlfn.IFS(
    K230&lt;&gt;"",K230,
    J230&lt;&gt;"",EDATE(J230,3),
    P230&lt;&gt;"",EDATE(P230,3),
    TRUE,""
)</f>
        <v/>
      </c>
    </row>
    <row r="231" spans="1:17" x14ac:dyDescent="0.3">
      <c r="A231" t="str">
        <f>IF(AND(Projects!A240="", Projects!B240=""), "", IF(Projects!A240="", "Unassigned", Projects!A240))</f>
        <v/>
      </c>
      <c r="B231" t="str">
        <f>IF(Projects!B240&lt;&gt;"",Projects!B240,"")</f>
        <v/>
      </c>
      <c r="C231" t="str">
        <f>IF(AND(Projects!C240="", Projects!B240=""), "", IF(Projects!C240="", "None", Projects!C240))</f>
        <v/>
      </c>
      <c r="D231" t="str">
        <f>IF(AND(Projects!D240="", Projects!B240=""), "", IF(Projects!D240="", "No OpCo", Projects!D240))</f>
        <v/>
      </c>
      <c r="E231" t="str">
        <f>IF(Projects!E240&lt;&gt;"",Projects!E240,"")</f>
        <v/>
      </c>
      <c r="F231" t="str">
        <f>IF(Projects!F240&lt;&gt;"",Projects!F240,"")</f>
        <v/>
      </c>
      <c r="G231" s="45" t="str">
        <f>IF(Projects!G240&lt;&gt;"",Projects!G240,"")</f>
        <v/>
      </c>
      <c r="H231" s="45" t="str">
        <f>IF(Projects!H240&lt;&gt;"",Projects!H240,"")</f>
        <v/>
      </c>
      <c r="I231" s="45" t="str">
        <f>IF(Projects!I240&lt;&gt;"",Projects!I240,"")</f>
        <v/>
      </c>
      <c r="J231" s="45" t="str">
        <f>IF(Projects!J240&lt;&gt;"",Projects!J240,"")</f>
        <v/>
      </c>
      <c r="K231" s="45" t="str">
        <f>IF(Projects!K240&lt;&gt;"",Projects!K240,"")</f>
        <v/>
      </c>
      <c r="L231" t="str">
        <f>IF(AND(Projects!E240&lt;&gt;"", Projects!F240&lt;&gt;""),
INDEX('Duration Table'!$D$7:$H$17,MATCH(Projects!E240,'Duration Table'!$C$7:$C$17,0),MATCH(Projects!F240,'Duration Table'!$D$6:$H$6)),
   ""
)</f>
        <v/>
      </c>
      <c r="M231" s="45" t="str" cm="1">
        <f t="array" ref="M231">_xlfn.IFS(
    G231&lt;&gt;"",G231,
    H231&lt;&gt;"",EDATE(H231,-0.25*L231),
    N231&lt;&gt;"",EDATE(N231,-0.25*L231),
    TRUE,""
)</f>
        <v/>
      </c>
      <c r="N231" s="45" t="str" cm="1">
        <f t="array" ref="N231">_xlfn.IFS(
    H231&lt;&gt;"", H231,
    COUNT(G231,I231)=2, (G231 + (DATEDIF(G231,I231,"d")*0.5)),
    COUNT(G231,J231)=2, (G231 + (DATEDIF(G231,J231,"d")*0.25)),
    COUNT(G231,K231)=2, (G231 + ((DATEDIF(G231,K231,"d")-90)*0.25)),
    COUNT(I231,J231)=2, (I231 -(DATEDIF(I231,J231,"d")*0.5)),
    COUNT(I231,K231)=2, (I231 -((DATEDIF(I231,K231,"d")-90)*0.5)),
    G231&lt;&gt;"", EDATE(G231, + L231*0.25),
    I231&lt;&gt;"", EDATE(I231, - L231*0.25),
    J231&lt;&gt;"", EDATE(J231, - L231*0.75),
    K231&lt;&gt;"", EDATE(K231, -((L231*0.75)+3)),
    TRUE, ""
)</f>
        <v/>
      </c>
      <c r="O231" s="45" t="str" cm="1">
        <f t="array" ref="O231">_xlfn.IFS(
    I231&lt;&gt;"", I231,
    COUNT(H231,J231)=2, (H231 + (DATEDIF(H231,J231,"d")*0.33)),
    COUNT(H231,K231)=2, (H231 + ((DATEDIF(H231,K231,"d")-90)*0.33)),
    COUNT(G231,J231)=2, (G231 +  DATEDIF(G231,J231,"d")*0.5),
    COUNT(G231,K231)=2, (G231 + (DATEDIF(G231,K231,"d")-90)*0.5),
    G231&lt;&gt;"", EDATE(G231, + L231*0.5),
    H231&lt;&gt;"", EDATE(H231, + L231*0.25),
    J231&lt;&gt;"", EDATE(J231, - L231*0.5),
    K231&lt;&gt;"", EDATE(K231, -((L231*0.5)+3)),
    TRUE, ""
)</f>
        <v/>
      </c>
      <c r="P231" s="45" t="str" cm="1">
        <f t="array" ref="P231">_xlfn.IFS(
    J231&lt;&gt;"", J231,
    K231&lt;&gt;"", EDATE(K231, -3),
    G231&lt;&gt;"", EDATE(G231, + L231),
    H231&lt;&gt;"", EDATE(H231, + L231*0.75),
    I231&lt;&gt;"", EDATE(I231, H L231*0.5),
    TRUE, ""
)</f>
        <v/>
      </c>
      <c r="Q231" s="45" t="str" cm="1">
        <f t="array" ref="Q231">_xlfn.IFS(
    K231&lt;&gt;"",K231,
    J231&lt;&gt;"",EDATE(J231,3),
    P231&lt;&gt;"",EDATE(P231,3),
    TRUE,""
)</f>
        <v/>
      </c>
    </row>
    <row r="232" spans="1:17" x14ac:dyDescent="0.3">
      <c r="A232" t="str">
        <f>IF(AND(Projects!A241="", Projects!B241=""), "", IF(Projects!A241="", "Unassigned", Projects!A241))</f>
        <v/>
      </c>
      <c r="B232" t="str">
        <f>IF(Projects!B241&lt;&gt;"",Projects!B241,"")</f>
        <v/>
      </c>
      <c r="C232" t="str">
        <f>IF(AND(Projects!C241="", Projects!B241=""), "", IF(Projects!C241="", "None", Projects!C241))</f>
        <v/>
      </c>
      <c r="D232" t="str">
        <f>IF(AND(Projects!D241="", Projects!B241=""), "", IF(Projects!D241="", "No OpCo", Projects!D241))</f>
        <v/>
      </c>
      <c r="E232" t="str">
        <f>IF(Projects!E241&lt;&gt;"",Projects!E241,"")</f>
        <v/>
      </c>
      <c r="F232" t="str">
        <f>IF(Projects!F241&lt;&gt;"",Projects!F241,"")</f>
        <v/>
      </c>
      <c r="G232" s="45" t="str">
        <f>IF(Projects!G241&lt;&gt;"",Projects!G241,"")</f>
        <v/>
      </c>
      <c r="H232" s="45" t="str">
        <f>IF(Projects!H241&lt;&gt;"",Projects!H241,"")</f>
        <v/>
      </c>
      <c r="I232" s="45" t="str">
        <f>IF(Projects!I241&lt;&gt;"",Projects!I241,"")</f>
        <v/>
      </c>
      <c r="J232" s="45" t="str">
        <f>IF(Projects!J241&lt;&gt;"",Projects!J241,"")</f>
        <v/>
      </c>
      <c r="K232" s="45" t="str">
        <f>IF(Projects!K241&lt;&gt;"",Projects!K241,"")</f>
        <v/>
      </c>
      <c r="L232" t="str">
        <f>IF(AND(Projects!E241&lt;&gt;"", Projects!F241&lt;&gt;""),
INDEX('Duration Table'!$D$7:$H$17,MATCH(Projects!E241,'Duration Table'!$C$7:$C$17,0),MATCH(Projects!F241,'Duration Table'!$D$6:$H$6)),
   ""
)</f>
        <v/>
      </c>
      <c r="M232" s="45" t="str" cm="1">
        <f t="array" ref="M232">_xlfn.IFS(
    G232&lt;&gt;"",G232,
    H232&lt;&gt;"",EDATE(H232,-0.25*L232),
    N232&lt;&gt;"",EDATE(N232,-0.25*L232),
    TRUE,""
)</f>
        <v/>
      </c>
      <c r="N232" s="45" t="str" cm="1">
        <f t="array" ref="N232">_xlfn.IFS(
    H232&lt;&gt;"", H232,
    COUNT(G232,I232)=2, (G232 + (DATEDIF(G232,I232,"d")*0.5)),
    COUNT(G232,J232)=2, (G232 + (DATEDIF(G232,J232,"d")*0.25)),
    COUNT(G232,K232)=2, (G232 + ((DATEDIF(G232,K232,"d")-90)*0.25)),
    COUNT(I232,J232)=2, (I232 -(DATEDIF(I232,J232,"d")*0.5)),
    COUNT(I232,K232)=2, (I232 -((DATEDIF(I232,K232,"d")-90)*0.5)),
    G232&lt;&gt;"", EDATE(G232, + L232*0.25),
    I232&lt;&gt;"", EDATE(I232, - L232*0.25),
    J232&lt;&gt;"", EDATE(J232, - L232*0.75),
    K232&lt;&gt;"", EDATE(K232, -((L232*0.75)+3)),
    TRUE, ""
)</f>
        <v/>
      </c>
      <c r="O232" s="45" t="str" cm="1">
        <f t="array" ref="O232">_xlfn.IFS(
    I232&lt;&gt;"", I232,
    COUNT(H232,J232)=2, (H232 + (DATEDIF(H232,J232,"d")*0.33)),
    COUNT(H232,K232)=2, (H232 + ((DATEDIF(H232,K232,"d")-90)*0.33)),
    COUNT(G232,J232)=2, (G232 +  DATEDIF(G232,J232,"d")*0.5),
    COUNT(G232,K232)=2, (G232 + (DATEDIF(G232,K232,"d")-90)*0.5),
    G232&lt;&gt;"", EDATE(G232, + L232*0.5),
    H232&lt;&gt;"", EDATE(H232, + L232*0.25),
    J232&lt;&gt;"", EDATE(J232, - L232*0.5),
    K232&lt;&gt;"", EDATE(K232, -((L232*0.5)+3)),
    TRUE, ""
)</f>
        <v/>
      </c>
      <c r="P232" s="45" t="str" cm="1">
        <f t="array" ref="P232">_xlfn.IFS(
    J232&lt;&gt;"", J232,
    K232&lt;&gt;"", EDATE(K232, -3),
    G232&lt;&gt;"", EDATE(G232, + L232),
    H232&lt;&gt;"", EDATE(H232, + L232*0.75),
    I232&lt;&gt;"", EDATE(I232, H L232*0.5),
    TRUE, ""
)</f>
        <v/>
      </c>
      <c r="Q232" s="45" t="str" cm="1">
        <f t="array" ref="Q232">_xlfn.IFS(
    K232&lt;&gt;"",K232,
    J232&lt;&gt;"",EDATE(J232,3),
    P232&lt;&gt;"",EDATE(P232,3),
    TRUE,""
)</f>
        <v/>
      </c>
    </row>
    <row r="233" spans="1:17" x14ac:dyDescent="0.3">
      <c r="A233" t="str">
        <f>IF(AND(Projects!A242="", Projects!B242=""), "", IF(Projects!A242="", "Unassigned", Projects!A242))</f>
        <v/>
      </c>
      <c r="B233" t="str">
        <f>IF(Projects!B242&lt;&gt;"",Projects!B242,"")</f>
        <v/>
      </c>
      <c r="C233" t="str">
        <f>IF(AND(Projects!C242="", Projects!B242=""), "", IF(Projects!C242="", "None", Projects!C242))</f>
        <v/>
      </c>
      <c r="D233" t="str">
        <f>IF(AND(Projects!D242="", Projects!B242=""), "", IF(Projects!D242="", "No OpCo", Projects!D242))</f>
        <v/>
      </c>
      <c r="E233" t="str">
        <f>IF(Projects!E242&lt;&gt;"",Projects!E242,"")</f>
        <v/>
      </c>
      <c r="F233" t="str">
        <f>IF(Projects!F242&lt;&gt;"",Projects!F242,"")</f>
        <v/>
      </c>
      <c r="G233" s="45" t="str">
        <f>IF(Projects!G242&lt;&gt;"",Projects!G242,"")</f>
        <v/>
      </c>
      <c r="H233" s="45" t="str">
        <f>IF(Projects!H242&lt;&gt;"",Projects!H242,"")</f>
        <v/>
      </c>
      <c r="I233" s="45" t="str">
        <f>IF(Projects!I242&lt;&gt;"",Projects!I242,"")</f>
        <v/>
      </c>
      <c r="J233" s="45" t="str">
        <f>IF(Projects!J242&lt;&gt;"",Projects!J242,"")</f>
        <v/>
      </c>
      <c r="K233" s="45" t="str">
        <f>IF(Projects!K242&lt;&gt;"",Projects!K242,"")</f>
        <v/>
      </c>
      <c r="L233" t="str">
        <f>IF(AND(Projects!E242&lt;&gt;"", Projects!F242&lt;&gt;""),
INDEX('Duration Table'!$D$7:$H$17,MATCH(Projects!E242,'Duration Table'!$C$7:$C$17,0),MATCH(Projects!F242,'Duration Table'!$D$6:$H$6)),
   ""
)</f>
        <v/>
      </c>
      <c r="M233" s="45" t="str" cm="1">
        <f t="array" ref="M233">_xlfn.IFS(
    G233&lt;&gt;"",G233,
    H233&lt;&gt;"",EDATE(H233,-0.25*L233),
    N233&lt;&gt;"",EDATE(N233,-0.25*L233),
    TRUE,""
)</f>
        <v/>
      </c>
      <c r="N233" s="45" t="str" cm="1">
        <f t="array" ref="N233">_xlfn.IFS(
    H233&lt;&gt;"", H233,
    COUNT(G233,I233)=2, (G233 + (DATEDIF(G233,I233,"d")*0.5)),
    COUNT(G233,J233)=2, (G233 + (DATEDIF(G233,J233,"d")*0.25)),
    COUNT(G233,K233)=2, (G233 + ((DATEDIF(G233,K233,"d")-90)*0.25)),
    COUNT(I233,J233)=2, (I233 -(DATEDIF(I233,J233,"d")*0.5)),
    COUNT(I233,K233)=2, (I233 -((DATEDIF(I233,K233,"d")-90)*0.5)),
    G233&lt;&gt;"", EDATE(G233, + L233*0.25),
    I233&lt;&gt;"", EDATE(I233, - L233*0.25),
    J233&lt;&gt;"", EDATE(J233, - L233*0.75),
    K233&lt;&gt;"", EDATE(K233, -((L233*0.75)+3)),
    TRUE, ""
)</f>
        <v/>
      </c>
      <c r="O233" s="45" t="str" cm="1">
        <f t="array" ref="O233">_xlfn.IFS(
    I233&lt;&gt;"", I233,
    COUNT(H233,J233)=2, (H233 + (DATEDIF(H233,J233,"d")*0.33)),
    COUNT(H233,K233)=2, (H233 + ((DATEDIF(H233,K233,"d")-90)*0.33)),
    COUNT(G233,J233)=2, (G233 +  DATEDIF(G233,J233,"d")*0.5),
    COUNT(G233,K233)=2, (G233 + (DATEDIF(G233,K233,"d")-90)*0.5),
    G233&lt;&gt;"", EDATE(G233, + L233*0.5),
    H233&lt;&gt;"", EDATE(H233, + L233*0.25),
    J233&lt;&gt;"", EDATE(J233, - L233*0.5),
    K233&lt;&gt;"", EDATE(K233, -((L233*0.5)+3)),
    TRUE, ""
)</f>
        <v/>
      </c>
      <c r="P233" s="45" t="str" cm="1">
        <f t="array" ref="P233">_xlfn.IFS(
    J233&lt;&gt;"", J233,
    K233&lt;&gt;"", EDATE(K233, -3),
    G233&lt;&gt;"", EDATE(G233, + L233),
    H233&lt;&gt;"", EDATE(H233, + L233*0.75),
    I233&lt;&gt;"", EDATE(I233, H L233*0.5),
    TRUE, ""
)</f>
        <v/>
      </c>
      <c r="Q233" s="45" t="str" cm="1">
        <f t="array" ref="Q233">_xlfn.IFS(
    K233&lt;&gt;"",K233,
    J233&lt;&gt;"",EDATE(J233,3),
    P233&lt;&gt;"",EDATE(P233,3),
    TRUE,""
)</f>
        <v/>
      </c>
    </row>
    <row r="234" spans="1:17" x14ac:dyDescent="0.3">
      <c r="A234" t="str">
        <f>IF(AND(Projects!A243="", Projects!B243=""), "", IF(Projects!A243="", "Unassigned", Projects!A243))</f>
        <v/>
      </c>
      <c r="B234" t="str">
        <f>IF(Projects!B243&lt;&gt;"",Projects!B243,"")</f>
        <v/>
      </c>
      <c r="C234" t="str">
        <f>IF(AND(Projects!C243="", Projects!B243=""), "", IF(Projects!C243="", "None", Projects!C243))</f>
        <v/>
      </c>
      <c r="D234" t="str">
        <f>IF(AND(Projects!D243="", Projects!B243=""), "", IF(Projects!D243="", "No OpCo", Projects!D243))</f>
        <v/>
      </c>
      <c r="E234" t="str">
        <f>IF(Projects!E243&lt;&gt;"",Projects!E243,"")</f>
        <v/>
      </c>
      <c r="F234" t="str">
        <f>IF(Projects!F243&lt;&gt;"",Projects!F243,"")</f>
        <v/>
      </c>
      <c r="G234" s="45" t="str">
        <f>IF(Projects!G243&lt;&gt;"",Projects!G243,"")</f>
        <v/>
      </c>
      <c r="H234" s="45" t="str">
        <f>IF(Projects!H243&lt;&gt;"",Projects!H243,"")</f>
        <v/>
      </c>
      <c r="I234" s="45" t="str">
        <f>IF(Projects!I243&lt;&gt;"",Projects!I243,"")</f>
        <v/>
      </c>
      <c r="J234" s="45" t="str">
        <f>IF(Projects!J243&lt;&gt;"",Projects!J243,"")</f>
        <v/>
      </c>
      <c r="K234" s="45" t="str">
        <f>IF(Projects!K243&lt;&gt;"",Projects!K243,"")</f>
        <v/>
      </c>
      <c r="L234" t="str">
        <f>IF(AND(Projects!E243&lt;&gt;"", Projects!F243&lt;&gt;""),
INDEX('Duration Table'!$D$7:$H$17,MATCH(Projects!E243,'Duration Table'!$C$7:$C$17,0),MATCH(Projects!F243,'Duration Table'!$D$6:$H$6)),
   ""
)</f>
        <v/>
      </c>
      <c r="M234" s="45" t="str" cm="1">
        <f t="array" ref="M234">_xlfn.IFS(
    G234&lt;&gt;"",G234,
    H234&lt;&gt;"",EDATE(H234,-0.25*L234),
    N234&lt;&gt;"",EDATE(N234,-0.25*L234),
    TRUE,""
)</f>
        <v/>
      </c>
      <c r="N234" s="45" t="str" cm="1">
        <f t="array" ref="N234">_xlfn.IFS(
    H234&lt;&gt;"", H234,
    COUNT(G234,I234)=2, (G234 + (DATEDIF(G234,I234,"d")*0.5)),
    COUNT(G234,J234)=2, (G234 + (DATEDIF(G234,J234,"d")*0.25)),
    COUNT(G234,K234)=2, (G234 + ((DATEDIF(G234,K234,"d")-90)*0.25)),
    COUNT(I234,J234)=2, (I234 -(DATEDIF(I234,J234,"d")*0.5)),
    COUNT(I234,K234)=2, (I234 -((DATEDIF(I234,K234,"d")-90)*0.5)),
    G234&lt;&gt;"", EDATE(G234, + L234*0.25),
    I234&lt;&gt;"", EDATE(I234, - L234*0.25),
    J234&lt;&gt;"", EDATE(J234, - L234*0.75),
    K234&lt;&gt;"", EDATE(K234, -((L234*0.75)+3)),
    TRUE, ""
)</f>
        <v/>
      </c>
      <c r="O234" s="45" t="str" cm="1">
        <f t="array" ref="O234">_xlfn.IFS(
    I234&lt;&gt;"", I234,
    COUNT(H234,J234)=2, (H234 + (DATEDIF(H234,J234,"d")*0.33)),
    COUNT(H234,K234)=2, (H234 + ((DATEDIF(H234,K234,"d")-90)*0.33)),
    COUNT(G234,J234)=2, (G234 +  DATEDIF(G234,J234,"d")*0.5),
    COUNT(G234,K234)=2, (G234 + (DATEDIF(G234,K234,"d")-90)*0.5),
    G234&lt;&gt;"", EDATE(G234, + L234*0.5),
    H234&lt;&gt;"", EDATE(H234, + L234*0.25),
    J234&lt;&gt;"", EDATE(J234, - L234*0.5),
    K234&lt;&gt;"", EDATE(K234, -((L234*0.5)+3)),
    TRUE, ""
)</f>
        <v/>
      </c>
      <c r="P234" s="45" t="str" cm="1">
        <f t="array" ref="P234">_xlfn.IFS(
    J234&lt;&gt;"", J234,
    K234&lt;&gt;"", EDATE(K234, -3),
    G234&lt;&gt;"", EDATE(G234, + L234),
    H234&lt;&gt;"", EDATE(H234, + L234*0.75),
    I234&lt;&gt;"", EDATE(I234, H L234*0.5),
    TRUE, ""
)</f>
        <v/>
      </c>
      <c r="Q234" s="45" t="str" cm="1">
        <f t="array" ref="Q234">_xlfn.IFS(
    K234&lt;&gt;"",K234,
    J234&lt;&gt;"",EDATE(J234,3),
    P234&lt;&gt;"",EDATE(P234,3),
    TRUE,""
)</f>
        <v/>
      </c>
    </row>
    <row r="235" spans="1:17" x14ac:dyDescent="0.3">
      <c r="A235" t="str">
        <f>IF(AND(Projects!A244="", Projects!B244=""), "", IF(Projects!A244="", "Unassigned", Projects!A244))</f>
        <v/>
      </c>
      <c r="B235" t="str">
        <f>IF(Projects!B244&lt;&gt;"",Projects!B244,"")</f>
        <v/>
      </c>
      <c r="C235" t="str">
        <f>IF(AND(Projects!C244="", Projects!B244=""), "", IF(Projects!C244="", "None", Projects!C244))</f>
        <v/>
      </c>
      <c r="D235" t="str">
        <f>IF(AND(Projects!D244="", Projects!B244=""), "", IF(Projects!D244="", "No OpCo", Projects!D244))</f>
        <v/>
      </c>
      <c r="E235" t="str">
        <f>IF(Projects!E244&lt;&gt;"",Projects!E244,"")</f>
        <v/>
      </c>
      <c r="F235" t="str">
        <f>IF(Projects!F244&lt;&gt;"",Projects!F244,"")</f>
        <v/>
      </c>
      <c r="G235" s="45" t="str">
        <f>IF(Projects!G244&lt;&gt;"",Projects!G244,"")</f>
        <v/>
      </c>
      <c r="H235" s="45" t="str">
        <f>IF(Projects!H244&lt;&gt;"",Projects!H244,"")</f>
        <v/>
      </c>
      <c r="I235" s="45" t="str">
        <f>IF(Projects!I244&lt;&gt;"",Projects!I244,"")</f>
        <v/>
      </c>
      <c r="J235" s="45" t="str">
        <f>IF(Projects!J244&lt;&gt;"",Projects!J244,"")</f>
        <v/>
      </c>
      <c r="K235" s="45" t="str">
        <f>IF(Projects!K244&lt;&gt;"",Projects!K244,"")</f>
        <v/>
      </c>
      <c r="L235" t="str">
        <f>IF(AND(Projects!E244&lt;&gt;"", Projects!F244&lt;&gt;""),
INDEX('Duration Table'!$D$7:$H$17,MATCH(Projects!E244,'Duration Table'!$C$7:$C$17,0),MATCH(Projects!F244,'Duration Table'!$D$6:$H$6)),
   ""
)</f>
        <v/>
      </c>
      <c r="M235" s="45" t="str" cm="1">
        <f t="array" ref="M235">_xlfn.IFS(
    G235&lt;&gt;"",G235,
    H235&lt;&gt;"",EDATE(H235,-0.25*L235),
    N235&lt;&gt;"",EDATE(N235,-0.25*L235),
    TRUE,""
)</f>
        <v/>
      </c>
      <c r="N235" s="45" t="str" cm="1">
        <f t="array" ref="N235">_xlfn.IFS(
    H235&lt;&gt;"", H235,
    COUNT(G235,I235)=2, (G235 + (DATEDIF(G235,I235,"d")*0.5)),
    COUNT(G235,J235)=2, (G235 + (DATEDIF(G235,J235,"d")*0.25)),
    COUNT(G235,K235)=2, (G235 + ((DATEDIF(G235,K235,"d")-90)*0.25)),
    COUNT(I235,J235)=2, (I235 -(DATEDIF(I235,J235,"d")*0.5)),
    COUNT(I235,K235)=2, (I235 -((DATEDIF(I235,K235,"d")-90)*0.5)),
    G235&lt;&gt;"", EDATE(G235, + L235*0.25),
    I235&lt;&gt;"", EDATE(I235, - L235*0.25),
    J235&lt;&gt;"", EDATE(J235, - L235*0.75),
    K235&lt;&gt;"", EDATE(K235, -((L235*0.75)+3)),
    TRUE, ""
)</f>
        <v/>
      </c>
      <c r="O235" s="45" t="str" cm="1">
        <f t="array" ref="O235">_xlfn.IFS(
    I235&lt;&gt;"", I235,
    COUNT(H235,J235)=2, (H235 + (DATEDIF(H235,J235,"d")*0.33)),
    COUNT(H235,K235)=2, (H235 + ((DATEDIF(H235,K235,"d")-90)*0.33)),
    COUNT(G235,J235)=2, (G235 +  DATEDIF(G235,J235,"d")*0.5),
    COUNT(G235,K235)=2, (G235 + (DATEDIF(G235,K235,"d")-90)*0.5),
    G235&lt;&gt;"", EDATE(G235, + L235*0.5),
    H235&lt;&gt;"", EDATE(H235, + L235*0.25),
    J235&lt;&gt;"", EDATE(J235, - L235*0.5),
    K235&lt;&gt;"", EDATE(K235, -((L235*0.5)+3)),
    TRUE, ""
)</f>
        <v/>
      </c>
      <c r="P235" s="45" t="str" cm="1">
        <f t="array" ref="P235">_xlfn.IFS(
    J235&lt;&gt;"", J235,
    K235&lt;&gt;"", EDATE(K235, -3),
    G235&lt;&gt;"", EDATE(G235, + L235),
    H235&lt;&gt;"", EDATE(H235, + L235*0.75),
    I235&lt;&gt;"", EDATE(I235, H L235*0.5),
    TRUE, ""
)</f>
        <v/>
      </c>
      <c r="Q235" s="45" t="str" cm="1">
        <f t="array" ref="Q235">_xlfn.IFS(
    K235&lt;&gt;"",K235,
    J235&lt;&gt;"",EDATE(J235,3),
    P235&lt;&gt;"",EDATE(P235,3),
    TRUE,""
)</f>
        <v/>
      </c>
    </row>
    <row r="236" spans="1:17" x14ac:dyDescent="0.3">
      <c r="A236" t="str">
        <f>IF(AND(Projects!A245="", Projects!B245=""), "", IF(Projects!A245="", "Unassigned", Projects!A245))</f>
        <v/>
      </c>
      <c r="B236" t="str">
        <f>IF(Projects!B245&lt;&gt;"",Projects!B245,"")</f>
        <v/>
      </c>
      <c r="C236" t="str">
        <f>IF(AND(Projects!C245="", Projects!B245=""), "", IF(Projects!C245="", "None", Projects!C245))</f>
        <v/>
      </c>
      <c r="D236" t="str">
        <f>IF(AND(Projects!D245="", Projects!B245=""), "", IF(Projects!D245="", "No OpCo", Projects!D245))</f>
        <v/>
      </c>
      <c r="E236" t="str">
        <f>IF(Projects!E245&lt;&gt;"",Projects!E245,"")</f>
        <v/>
      </c>
      <c r="F236" t="str">
        <f>IF(Projects!F245&lt;&gt;"",Projects!F245,"")</f>
        <v/>
      </c>
      <c r="G236" s="45" t="str">
        <f>IF(Projects!G245&lt;&gt;"",Projects!G245,"")</f>
        <v/>
      </c>
      <c r="H236" s="45" t="str">
        <f>IF(Projects!H245&lt;&gt;"",Projects!H245,"")</f>
        <v/>
      </c>
      <c r="I236" s="45" t="str">
        <f>IF(Projects!I245&lt;&gt;"",Projects!I245,"")</f>
        <v/>
      </c>
      <c r="J236" s="45" t="str">
        <f>IF(Projects!J245&lt;&gt;"",Projects!J245,"")</f>
        <v/>
      </c>
      <c r="K236" s="45" t="str">
        <f>IF(Projects!K245&lt;&gt;"",Projects!K245,"")</f>
        <v/>
      </c>
      <c r="L236" t="str">
        <f>IF(AND(Projects!E245&lt;&gt;"", Projects!F245&lt;&gt;""),
INDEX('Duration Table'!$D$7:$H$17,MATCH(Projects!E245,'Duration Table'!$C$7:$C$17,0),MATCH(Projects!F245,'Duration Table'!$D$6:$H$6)),
   ""
)</f>
        <v/>
      </c>
      <c r="M236" s="45" t="str" cm="1">
        <f t="array" ref="M236">_xlfn.IFS(
    G236&lt;&gt;"",G236,
    H236&lt;&gt;"",EDATE(H236,-0.25*L236),
    N236&lt;&gt;"",EDATE(N236,-0.25*L236),
    TRUE,""
)</f>
        <v/>
      </c>
      <c r="N236" s="45" t="str" cm="1">
        <f t="array" ref="N236">_xlfn.IFS(
    H236&lt;&gt;"", H236,
    COUNT(G236,I236)=2, (G236 + (DATEDIF(G236,I236,"d")*0.5)),
    COUNT(G236,J236)=2, (G236 + (DATEDIF(G236,J236,"d")*0.25)),
    COUNT(G236,K236)=2, (G236 + ((DATEDIF(G236,K236,"d")-90)*0.25)),
    COUNT(I236,J236)=2, (I236 -(DATEDIF(I236,J236,"d")*0.5)),
    COUNT(I236,K236)=2, (I236 -((DATEDIF(I236,K236,"d")-90)*0.5)),
    G236&lt;&gt;"", EDATE(G236, + L236*0.25),
    I236&lt;&gt;"", EDATE(I236, - L236*0.25),
    J236&lt;&gt;"", EDATE(J236, - L236*0.75),
    K236&lt;&gt;"", EDATE(K236, -((L236*0.75)+3)),
    TRUE, ""
)</f>
        <v/>
      </c>
      <c r="O236" s="45" t="str" cm="1">
        <f t="array" ref="O236">_xlfn.IFS(
    I236&lt;&gt;"", I236,
    COUNT(H236,J236)=2, (H236 + (DATEDIF(H236,J236,"d")*0.33)),
    COUNT(H236,K236)=2, (H236 + ((DATEDIF(H236,K236,"d")-90)*0.33)),
    COUNT(G236,J236)=2, (G236 +  DATEDIF(G236,J236,"d")*0.5),
    COUNT(G236,K236)=2, (G236 + (DATEDIF(G236,K236,"d")-90)*0.5),
    G236&lt;&gt;"", EDATE(G236, + L236*0.5),
    H236&lt;&gt;"", EDATE(H236, + L236*0.25),
    J236&lt;&gt;"", EDATE(J236, - L236*0.5),
    K236&lt;&gt;"", EDATE(K236, -((L236*0.5)+3)),
    TRUE, ""
)</f>
        <v/>
      </c>
      <c r="P236" s="45" t="str" cm="1">
        <f t="array" ref="P236">_xlfn.IFS(
    J236&lt;&gt;"", J236,
    K236&lt;&gt;"", EDATE(K236, -3),
    G236&lt;&gt;"", EDATE(G236, + L236),
    H236&lt;&gt;"", EDATE(H236, + L236*0.75),
    I236&lt;&gt;"", EDATE(I236, H L236*0.5),
    TRUE, ""
)</f>
        <v/>
      </c>
      <c r="Q236" s="45" t="str" cm="1">
        <f t="array" ref="Q236">_xlfn.IFS(
    K236&lt;&gt;"",K236,
    J236&lt;&gt;"",EDATE(J236,3),
    P236&lt;&gt;"",EDATE(P236,3),
    TRUE,""
)</f>
        <v/>
      </c>
    </row>
    <row r="237" spans="1:17" x14ac:dyDescent="0.3">
      <c r="A237" t="str">
        <f>IF(AND(Projects!A246="", Projects!B246=""), "", IF(Projects!A246="", "Unassigned", Projects!A246))</f>
        <v/>
      </c>
      <c r="B237" t="str">
        <f>IF(Projects!B246&lt;&gt;"",Projects!B246,"")</f>
        <v/>
      </c>
      <c r="C237" t="str">
        <f>IF(AND(Projects!C246="", Projects!B246=""), "", IF(Projects!C246="", "None", Projects!C246))</f>
        <v/>
      </c>
      <c r="D237" t="str">
        <f>IF(AND(Projects!D246="", Projects!B246=""), "", IF(Projects!D246="", "No OpCo", Projects!D246))</f>
        <v/>
      </c>
      <c r="E237" t="str">
        <f>IF(Projects!E246&lt;&gt;"",Projects!E246,"")</f>
        <v/>
      </c>
      <c r="F237" t="str">
        <f>IF(Projects!F246&lt;&gt;"",Projects!F246,"")</f>
        <v/>
      </c>
      <c r="G237" s="45" t="str">
        <f>IF(Projects!G246&lt;&gt;"",Projects!G246,"")</f>
        <v/>
      </c>
      <c r="H237" s="45" t="str">
        <f>IF(Projects!H246&lt;&gt;"",Projects!H246,"")</f>
        <v/>
      </c>
      <c r="I237" s="45" t="str">
        <f>IF(Projects!I246&lt;&gt;"",Projects!I246,"")</f>
        <v/>
      </c>
      <c r="J237" s="45" t="str">
        <f>IF(Projects!J246&lt;&gt;"",Projects!J246,"")</f>
        <v/>
      </c>
      <c r="K237" s="45" t="str">
        <f>IF(Projects!K246&lt;&gt;"",Projects!K246,"")</f>
        <v/>
      </c>
      <c r="L237" t="str">
        <f>IF(AND(Projects!E246&lt;&gt;"", Projects!F246&lt;&gt;""),
INDEX('Duration Table'!$D$7:$H$17,MATCH(Projects!E246,'Duration Table'!$C$7:$C$17,0),MATCH(Projects!F246,'Duration Table'!$D$6:$H$6)),
   ""
)</f>
        <v/>
      </c>
      <c r="M237" s="45" t="str" cm="1">
        <f t="array" ref="M237">_xlfn.IFS(
    G237&lt;&gt;"",G237,
    H237&lt;&gt;"",EDATE(H237,-0.25*L237),
    N237&lt;&gt;"",EDATE(N237,-0.25*L237),
    TRUE,""
)</f>
        <v/>
      </c>
      <c r="N237" s="45" t="str" cm="1">
        <f t="array" ref="N237">_xlfn.IFS(
    H237&lt;&gt;"", H237,
    COUNT(G237,I237)=2, (G237 + (DATEDIF(G237,I237,"d")*0.5)),
    COUNT(G237,J237)=2, (G237 + (DATEDIF(G237,J237,"d")*0.25)),
    COUNT(G237,K237)=2, (G237 + ((DATEDIF(G237,K237,"d")-90)*0.25)),
    COUNT(I237,J237)=2, (I237 -(DATEDIF(I237,J237,"d")*0.5)),
    COUNT(I237,K237)=2, (I237 -((DATEDIF(I237,K237,"d")-90)*0.5)),
    G237&lt;&gt;"", EDATE(G237, + L237*0.25),
    I237&lt;&gt;"", EDATE(I237, - L237*0.25),
    J237&lt;&gt;"", EDATE(J237, - L237*0.75),
    K237&lt;&gt;"", EDATE(K237, -((L237*0.75)+3)),
    TRUE, ""
)</f>
        <v/>
      </c>
      <c r="O237" s="45" t="str" cm="1">
        <f t="array" ref="O237">_xlfn.IFS(
    I237&lt;&gt;"", I237,
    COUNT(H237,J237)=2, (H237 + (DATEDIF(H237,J237,"d")*0.33)),
    COUNT(H237,K237)=2, (H237 + ((DATEDIF(H237,K237,"d")-90)*0.33)),
    COUNT(G237,J237)=2, (G237 +  DATEDIF(G237,J237,"d")*0.5),
    COUNT(G237,K237)=2, (G237 + (DATEDIF(G237,K237,"d")-90)*0.5),
    G237&lt;&gt;"", EDATE(G237, + L237*0.5),
    H237&lt;&gt;"", EDATE(H237, + L237*0.25),
    J237&lt;&gt;"", EDATE(J237, - L237*0.5),
    K237&lt;&gt;"", EDATE(K237, -((L237*0.5)+3)),
    TRUE, ""
)</f>
        <v/>
      </c>
      <c r="P237" s="45" t="str" cm="1">
        <f t="array" ref="P237">_xlfn.IFS(
    J237&lt;&gt;"", J237,
    K237&lt;&gt;"", EDATE(K237, -3),
    G237&lt;&gt;"", EDATE(G237, + L237),
    H237&lt;&gt;"", EDATE(H237, + L237*0.75),
    I237&lt;&gt;"", EDATE(I237, H L237*0.5),
    TRUE, ""
)</f>
        <v/>
      </c>
      <c r="Q237" s="45" t="str" cm="1">
        <f t="array" ref="Q237">_xlfn.IFS(
    K237&lt;&gt;"",K237,
    J237&lt;&gt;"",EDATE(J237,3),
    P237&lt;&gt;"",EDATE(P237,3),
    TRUE,""
)</f>
        <v/>
      </c>
    </row>
    <row r="238" spans="1:17" x14ac:dyDescent="0.3">
      <c r="A238" t="str">
        <f>IF(AND(Projects!A247="", Projects!B247=""), "", IF(Projects!A247="", "Unassigned", Projects!A247))</f>
        <v/>
      </c>
      <c r="B238" t="str">
        <f>IF(Projects!B247&lt;&gt;"",Projects!B247,"")</f>
        <v/>
      </c>
      <c r="C238" t="str">
        <f>IF(AND(Projects!C247="", Projects!B247=""), "", IF(Projects!C247="", "None", Projects!C247))</f>
        <v/>
      </c>
      <c r="D238" t="str">
        <f>IF(AND(Projects!D247="", Projects!B247=""), "", IF(Projects!D247="", "No OpCo", Projects!D247))</f>
        <v/>
      </c>
      <c r="E238" t="str">
        <f>IF(Projects!E247&lt;&gt;"",Projects!E247,"")</f>
        <v/>
      </c>
      <c r="F238" t="str">
        <f>IF(Projects!F247&lt;&gt;"",Projects!F247,"")</f>
        <v/>
      </c>
      <c r="G238" s="45" t="str">
        <f>IF(Projects!G247&lt;&gt;"",Projects!G247,"")</f>
        <v/>
      </c>
      <c r="H238" s="45" t="str">
        <f>IF(Projects!H247&lt;&gt;"",Projects!H247,"")</f>
        <v/>
      </c>
      <c r="I238" s="45" t="str">
        <f>IF(Projects!I247&lt;&gt;"",Projects!I247,"")</f>
        <v/>
      </c>
      <c r="J238" s="45" t="str">
        <f>IF(Projects!J247&lt;&gt;"",Projects!J247,"")</f>
        <v/>
      </c>
      <c r="K238" s="45" t="str">
        <f>IF(Projects!K247&lt;&gt;"",Projects!K247,"")</f>
        <v/>
      </c>
      <c r="L238" t="str">
        <f>IF(AND(Projects!E247&lt;&gt;"", Projects!F247&lt;&gt;""),
INDEX('Duration Table'!$D$7:$H$17,MATCH(Projects!E247,'Duration Table'!$C$7:$C$17,0),MATCH(Projects!F247,'Duration Table'!$D$6:$H$6)),
   ""
)</f>
        <v/>
      </c>
      <c r="M238" s="45" t="str" cm="1">
        <f t="array" ref="M238">_xlfn.IFS(
    G238&lt;&gt;"",G238,
    H238&lt;&gt;"",EDATE(H238,-0.25*L238),
    N238&lt;&gt;"",EDATE(N238,-0.25*L238),
    TRUE,""
)</f>
        <v/>
      </c>
      <c r="N238" s="45" t="str" cm="1">
        <f t="array" ref="N238">_xlfn.IFS(
    H238&lt;&gt;"", H238,
    COUNT(G238,I238)=2, (G238 + (DATEDIF(G238,I238,"d")*0.5)),
    COUNT(G238,J238)=2, (G238 + (DATEDIF(G238,J238,"d")*0.25)),
    COUNT(G238,K238)=2, (G238 + ((DATEDIF(G238,K238,"d")-90)*0.25)),
    COUNT(I238,J238)=2, (I238 -(DATEDIF(I238,J238,"d")*0.5)),
    COUNT(I238,K238)=2, (I238 -((DATEDIF(I238,K238,"d")-90)*0.5)),
    G238&lt;&gt;"", EDATE(G238, + L238*0.25),
    I238&lt;&gt;"", EDATE(I238, - L238*0.25),
    J238&lt;&gt;"", EDATE(J238, - L238*0.75),
    K238&lt;&gt;"", EDATE(K238, -((L238*0.75)+3)),
    TRUE, ""
)</f>
        <v/>
      </c>
      <c r="O238" s="45" t="str" cm="1">
        <f t="array" ref="O238">_xlfn.IFS(
    I238&lt;&gt;"", I238,
    COUNT(H238,J238)=2, (H238 + (DATEDIF(H238,J238,"d")*0.33)),
    COUNT(H238,K238)=2, (H238 + ((DATEDIF(H238,K238,"d")-90)*0.33)),
    COUNT(G238,J238)=2, (G238 +  DATEDIF(G238,J238,"d")*0.5),
    COUNT(G238,K238)=2, (G238 + (DATEDIF(G238,K238,"d")-90)*0.5),
    G238&lt;&gt;"", EDATE(G238, + L238*0.5),
    H238&lt;&gt;"", EDATE(H238, + L238*0.25),
    J238&lt;&gt;"", EDATE(J238, - L238*0.5),
    K238&lt;&gt;"", EDATE(K238, -((L238*0.5)+3)),
    TRUE, ""
)</f>
        <v/>
      </c>
      <c r="P238" s="45" t="str" cm="1">
        <f t="array" ref="P238">_xlfn.IFS(
    J238&lt;&gt;"", J238,
    K238&lt;&gt;"", EDATE(K238, -3),
    G238&lt;&gt;"", EDATE(G238, + L238),
    H238&lt;&gt;"", EDATE(H238, + L238*0.75),
    I238&lt;&gt;"", EDATE(I238, H L238*0.5),
    TRUE, ""
)</f>
        <v/>
      </c>
      <c r="Q238" s="45" t="str" cm="1">
        <f t="array" ref="Q238">_xlfn.IFS(
    K238&lt;&gt;"",K238,
    J238&lt;&gt;"",EDATE(J238,3),
    P238&lt;&gt;"",EDATE(P238,3),
    TRUE,""
)</f>
        <v/>
      </c>
    </row>
    <row r="239" spans="1:17" x14ac:dyDescent="0.3">
      <c r="A239" t="str">
        <f>IF(AND(Projects!A248="", Projects!B248=""), "", IF(Projects!A248="", "Unassigned", Projects!A248))</f>
        <v/>
      </c>
      <c r="B239" t="str">
        <f>IF(Projects!B248&lt;&gt;"",Projects!B248,"")</f>
        <v/>
      </c>
      <c r="C239" t="str">
        <f>IF(AND(Projects!C248="", Projects!B248=""), "", IF(Projects!C248="", "None", Projects!C248))</f>
        <v/>
      </c>
      <c r="D239" t="str">
        <f>IF(AND(Projects!D248="", Projects!B248=""), "", IF(Projects!D248="", "No OpCo", Projects!D248))</f>
        <v/>
      </c>
      <c r="E239" t="str">
        <f>IF(Projects!E248&lt;&gt;"",Projects!E248,"")</f>
        <v/>
      </c>
      <c r="F239" t="str">
        <f>IF(Projects!F248&lt;&gt;"",Projects!F248,"")</f>
        <v/>
      </c>
      <c r="G239" s="45" t="str">
        <f>IF(Projects!G248&lt;&gt;"",Projects!G248,"")</f>
        <v/>
      </c>
      <c r="H239" s="45" t="str">
        <f>IF(Projects!H248&lt;&gt;"",Projects!H248,"")</f>
        <v/>
      </c>
      <c r="I239" s="45" t="str">
        <f>IF(Projects!I248&lt;&gt;"",Projects!I248,"")</f>
        <v/>
      </c>
      <c r="J239" s="45" t="str">
        <f>IF(Projects!J248&lt;&gt;"",Projects!J248,"")</f>
        <v/>
      </c>
      <c r="K239" s="45" t="str">
        <f>IF(Projects!K248&lt;&gt;"",Projects!K248,"")</f>
        <v/>
      </c>
      <c r="L239" t="str">
        <f>IF(AND(Projects!E248&lt;&gt;"", Projects!F248&lt;&gt;""),
INDEX('Duration Table'!$D$7:$H$17,MATCH(Projects!E248,'Duration Table'!$C$7:$C$17,0),MATCH(Projects!F248,'Duration Table'!$D$6:$H$6)),
   ""
)</f>
        <v/>
      </c>
      <c r="M239" s="45" t="str" cm="1">
        <f t="array" ref="M239">_xlfn.IFS(
    G239&lt;&gt;"",G239,
    H239&lt;&gt;"",EDATE(H239,-0.25*L239),
    N239&lt;&gt;"",EDATE(N239,-0.25*L239),
    TRUE,""
)</f>
        <v/>
      </c>
      <c r="N239" s="45" t="str" cm="1">
        <f t="array" ref="N239">_xlfn.IFS(
    H239&lt;&gt;"", H239,
    COUNT(G239,I239)=2, (G239 + (DATEDIF(G239,I239,"d")*0.5)),
    COUNT(G239,J239)=2, (G239 + (DATEDIF(G239,J239,"d")*0.25)),
    COUNT(G239,K239)=2, (G239 + ((DATEDIF(G239,K239,"d")-90)*0.25)),
    COUNT(I239,J239)=2, (I239 -(DATEDIF(I239,J239,"d")*0.5)),
    COUNT(I239,K239)=2, (I239 -((DATEDIF(I239,K239,"d")-90)*0.5)),
    G239&lt;&gt;"", EDATE(G239, + L239*0.25),
    I239&lt;&gt;"", EDATE(I239, - L239*0.25),
    J239&lt;&gt;"", EDATE(J239, - L239*0.75),
    K239&lt;&gt;"", EDATE(K239, -((L239*0.75)+3)),
    TRUE, ""
)</f>
        <v/>
      </c>
      <c r="O239" s="45" t="str" cm="1">
        <f t="array" ref="O239">_xlfn.IFS(
    I239&lt;&gt;"", I239,
    COUNT(H239,J239)=2, (H239 + (DATEDIF(H239,J239,"d")*0.33)),
    COUNT(H239,K239)=2, (H239 + ((DATEDIF(H239,K239,"d")-90)*0.33)),
    COUNT(G239,J239)=2, (G239 +  DATEDIF(G239,J239,"d")*0.5),
    COUNT(G239,K239)=2, (G239 + (DATEDIF(G239,K239,"d")-90)*0.5),
    G239&lt;&gt;"", EDATE(G239, + L239*0.5),
    H239&lt;&gt;"", EDATE(H239, + L239*0.25),
    J239&lt;&gt;"", EDATE(J239, - L239*0.5),
    K239&lt;&gt;"", EDATE(K239, -((L239*0.5)+3)),
    TRUE, ""
)</f>
        <v/>
      </c>
      <c r="P239" s="45" t="str" cm="1">
        <f t="array" ref="P239">_xlfn.IFS(
    J239&lt;&gt;"", J239,
    K239&lt;&gt;"", EDATE(K239, -3),
    G239&lt;&gt;"", EDATE(G239, + L239),
    H239&lt;&gt;"", EDATE(H239, + L239*0.75),
    I239&lt;&gt;"", EDATE(I239, H L239*0.5),
    TRUE, ""
)</f>
        <v/>
      </c>
      <c r="Q239" s="45" t="str" cm="1">
        <f t="array" ref="Q239">_xlfn.IFS(
    K239&lt;&gt;"",K239,
    J239&lt;&gt;"",EDATE(J239,3),
    P239&lt;&gt;"",EDATE(P239,3),
    TRUE,""
)</f>
        <v/>
      </c>
    </row>
    <row r="240" spans="1:17" x14ac:dyDescent="0.3">
      <c r="A240" t="str">
        <f>IF(AND(Projects!A249="", Projects!B249=""), "", IF(Projects!A249="", "Unassigned", Projects!A249))</f>
        <v/>
      </c>
      <c r="B240" t="str">
        <f>IF(Projects!B249&lt;&gt;"",Projects!B249,"")</f>
        <v/>
      </c>
      <c r="C240" t="str">
        <f>IF(AND(Projects!C249="", Projects!B249=""), "", IF(Projects!C249="", "None", Projects!C249))</f>
        <v/>
      </c>
      <c r="D240" t="str">
        <f>IF(AND(Projects!D249="", Projects!B249=""), "", IF(Projects!D249="", "No OpCo", Projects!D249))</f>
        <v/>
      </c>
      <c r="E240" t="str">
        <f>IF(Projects!E249&lt;&gt;"",Projects!E249,"")</f>
        <v/>
      </c>
      <c r="F240" t="str">
        <f>IF(Projects!F249&lt;&gt;"",Projects!F249,"")</f>
        <v/>
      </c>
      <c r="G240" s="45" t="str">
        <f>IF(Projects!G249&lt;&gt;"",Projects!G249,"")</f>
        <v/>
      </c>
      <c r="H240" s="45" t="str">
        <f>IF(Projects!H249&lt;&gt;"",Projects!H249,"")</f>
        <v/>
      </c>
      <c r="I240" s="45" t="str">
        <f>IF(Projects!I249&lt;&gt;"",Projects!I249,"")</f>
        <v/>
      </c>
      <c r="J240" s="45" t="str">
        <f>IF(Projects!J249&lt;&gt;"",Projects!J249,"")</f>
        <v/>
      </c>
      <c r="K240" s="45" t="str">
        <f>IF(Projects!K249&lt;&gt;"",Projects!K249,"")</f>
        <v/>
      </c>
      <c r="L240" t="str">
        <f>IF(AND(Projects!E249&lt;&gt;"", Projects!F249&lt;&gt;""),
INDEX('Duration Table'!$D$7:$H$17,MATCH(Projects!E249,'Duration Table'!$C$7:$C$17,0),MATCH(Projects!F249,'Duration Table'!$D$6:$H$6)),
   ""
)</f>
        <v/>
      </c>
      <c r="M240" s="45" t="str" cm="1">
        <f t="array" ref="M240">_xlfn.IFS(
    G240&lt;&gt;"",G240,
    H240&lt;&gt;"",EDATE(H240,-0.25*L240),
    N240&lt;&gt;"",EDATE(N240,-0.25*L240),
    TRUE,""
)</f>
        <v/>
      </c>
      <c r="N240" s="45" t="str" cm="1">
        <f t="array" ref="N240">_xlfn.IFS(
    H240&lt;&gt;"", H240,
    COUNT(G240,I240)=2, (G240 + (DATEDIF(G240,I240,"d")*0.5)),
    COUNT(G240,J240)=2, (G240 + (DATEDIF(G240,J240,"d")*0.25)),
    COUNT(G240,K240)=2, (G240 + ((DATEDIF(G240,K240,"d")-90)*0.25)),
    COUNT(I240,J240)=2, (I240 -(DATEDIF(I240,J240,"d")*0.5)),
    COUNT(I240,K240)=2, (I240 -((DATEDIF(I240,K240,"d")-90)*0.5)),
    G240&lt;&gt;"", EDATE(G240, + L240*0.25),
    I240&lt;&gt;"", EDATE(I240, - L240*0.25),
    J240&lt;&gt;"", EDATE(J240, - L240*0.75),
    K240&lt;&gt;"", EDATE(K240, -((L240*0.75)+3)),
    TRUE, ""
)</f>
        <v/>
      </c>
      <c r="O240" s="45" t="str" cm="1">
        <f t="array" ref="O240">_xlfn.IFS(
    I240&lt;&gt;"", I240,
    COUNT(H240,J240)=2, (H240 + (DATEDIF(H240,J240,"d")*0.33)),
    COUNT(H240,K240)=2, (H240 + ((DATEDIF(H240,K240,"d")-90)*0.33)),
    COUNT(G240,J240)=2, (G240 +  DATEDIF(G240,J240,"d")*0.5),
    COUNT(G240,K240)=2, (G240 + (DATEDIF(G240,K240,"d")-90)*0.5),
    G240&lt;&gt;"", EDATE(G240, + L240*0.5),
    H240&lt;&gt;"", EDATE(H240, + L240*0.25),
    J240&lt;&gt;"", EDATE(J240, - L240*0.5),
    K240&lt;&gt;"", EDATE(K240, -((L240*0.5)+3)),
    TRUE, ""
)</f>
        <v/>
      </c>
      <c r="P240" s="45" t="str" cm="1">
        <f t="array" ref="P240">_xlfn.IFS(
    J240&lt;&gt;"", J240,
    K240&lt;&gt;"", EDATE(K240, -3),
    G240&lt;&gt;"", EDATE(G240, + L240),
    H240&lt;&gt;"", EDATE(H240, + L240*0.75),
    I240&lt;&gt;"", EDATE(I240, H L240*0.5),
    TRUE, ""
)</f>
        <v/>
      </c>
      <c r="Q240" s="45" t="str" cm="1">
        <f t="array" ref="Q240">_xlfn.IFS(
    K240&lt;&gt;"",K240,
    J240&lt;&gt;"",EDATE(J240,3),
    P240&lt;&gt;"",EDATE(P240,3),
    TRUE,""
)</f>
        <v/>
      </c>
    </row>
    <row r="241" spans="1:17" x14ac:dyDescent="0.3">
      <c r="A241" t="str">
        <f>IF(AND(Projects!A250="", Projects!B250=""), "", IF(Projects!A250="", "Unassigned", Projects!A250))</f>
        <v/>
      </c>
      <c r="B241" t="str">
        <f>IF(Projects!B250&lt;&gt;"",Projects!B250,"")</f>
        <v/>
      </c>
      <c r="C241" t="str">
        <f>IF(AND(Projects!C250="", Projects!B250=""), "", IF(Projects!C250="", "None", Projects!C250))</f>
        <v/>
      </c>
      <c r="D241" t="str">
        <f>IF(AND(Projects!D250="", Projects!B250=""), "", IF(Projects!D250="", "No OpCo", Projects!D250))</f>
        <v/>
      </c>
      <c r="E241" t="str">
        <f>IF(Projects!E250&lt;&gt;"",Projects!E250,"")</f>
        <v/>
      </c>
      <c r="F241" t="str">
        <f>IF(Projects!F250&lt;&gt;"",Projects!F250,"")</f>
        <v/>
      </c>
      <c r="G241" s="45" t="str">
        <f>IF(Projects!G250&lt;&gt;"",Projects!G250,"")</f>
        <v/>
      </c>
      <c r="H241" s="45" t="str">
        <f>IF(Projects!H250&lt;&gt;"",Projects!H250,"")</f>
        <v/>
      </c>
      <c r="I241" s="45" t="str">
        <f>IF(Projects!I250&lt;&gt;"",Projects!I250,"")</f>
        <v/>
      </c>
      <c r="J241" s="45" t="str">
        <f>IF(Projects!J250&lt;&gt;"",Projects!J250,"")</f>
        <v/>
      </c>
      <c r="K241" s="45" t="str">
        <f>IF(Projects!K250&lt;&gt;"",Projects!K250,"")</f>
        <v/>
      </c>
      <c r="L241" t="str">
        <f>IF(AND(Projects!E250&lt;&gt;"", Projects!F250&lt;&gt;""),
INDEX('Duration Table'!$D$7:$H$17,MATCH(Projects!E250,'Duration Table'!$C$7:$C$17,0),MATCH(Projects!F250,'Duration Table'!$D$6:$H$6)),
   ""
)</f>
        <v/>
      </c>
      <c r="M241" s="45" t="str" cm="1">
        <f t="array" ref="M241">_xlfn.IFS(
    G241&lt;&gt;"",G241,
    H241&lt;&gt;"",EDATE(H241,-0.25*L241),
    N241&lt;&gt;"",EDATE(N241,-0.25*L241),
    TRUE,""
)</f>
        <v/>
      </c>
      <c r="N241" s="45" t="str" cm="1">
        <f t="array" ref="N241">_xlfn.IFS(
    H241&lt;&gt;"", H241,
    COUNT(G241,I241)=2, (G241 + (DATEDIF(G241,I241,"d")*0.5)),
    COUNT(G241,J241)=2, (G241 + (DATEDIF(G241,J241,"d")*0.25)),
    COUNT(G241,K241)=2, (G241 + ((DATEDIF(G241,K241,"d")-90)*0.25)),
    COUNT(I241,J241)=2, (I241 -(DATEDIF(I241,J241,"d")*0.5)),
    COUNT(I241,K241)=2, (I241 -((DATEDIF(I241,K241,"d")-90)*0.5)),
    G241&lt;&gt;"", EDATE(G241, + L241*0.25),
    I241&lt;&gt;"", EDATE(I241, - L241*0.25),
    J241&lt;&gt;"", EDATE(J241, - L241*0.75),
    K241&lt;&gt;"", EDATE(K241, -((L241*0.75)+3)),
    TRUE, ""
)</f>
        <v/>
      </c>
      <c r="O241" s="45" t="str" cm="1">
        <f t="array" ref="O241">_xlfn.IFS(
    I241&lt;&gt;"", I241,
    COUNT(H241,J241)=2, (H241 + (DATEDIF(H241,J241,"d")*0.33)),
    COUNT(H241,K241)=2, (H241 + ((DATEDIF(H241,K241,"d")-90)*0.33)),
    COUNT(G241,J241)=2, (G241 +  DATEDIF(G241,J241,"d")*0.5),
    COUNT(G241,K241)=2, (G241 + (DATEDIF(G241,K241,"d")-90)*0.5),
    G241&lt;&gt;"", EDATE(G241, + L241*0.5),
    H241&lt;&gt;"", EDATE(H241, + L241*0.25),
    J241&lt;&gt;"", EDATE(J241, - L241*0.5),
    K241&lt;&gt;"", EDATE(K241, -((L241*0.5)+3)),
    TRUE, ""
)</f>
        <v/>
      </c>
      <c r="P241" s="45" t="str" cm="1">
        <f t="array" ref="P241">_xlfn.IFS(
    J241&lt;&gt;"", J241,
    K241&lt;&gt;"", EDATE(K241, -3),
    G241&lt;&gt;"", EDATE(G241, + L241),
    H241&lt;&gt;"", EDATE(H241, + L241*0.75),
    I241&lt;&gt;"", EDATE(I241, H L241*0.5),
    TRUE, ""
)</f>
        <v/>
      </c>
      <c r="Q241" s="45" t="str" cm="1">
        <f t="array" ref="Q241">_xlfn.IFS(
    K241&lt;&gt;"",K241,
    J241&lt;&gt;"",EDATE(J241,3),
    P241&lt;&gt;"",EDATE(P241,3),
    TRUE,""
)</f>
        <v/>
      </c>
    </row>
    <row r="242" spans="1:17" x14ac:dyDescent="0.3">
      <c r="A242" t="str">
        <f>IF(AND(Projects!A251="", Projects!B251=""), "", IF(Projects!A251="", "Unassigned", Projects!A251))</f>
        <v/>
      </c>
      <c r="B242" t="str">
        <f>IF(Projects!B251&lt;&gt;"",Projects!B251,"")</f>
        <v/>
      </c>
      <c r="C242" t="str">
        <f>IF(AND(Projects!C251="", Projects!B251=""), "", IF(Projects!C251="", "None", Projects!C251))</f>
        <v/>
      </c>
      <c r="D242" t="str">
        <f>IF(AND(Projects!D251="", Projects!B251=""), "", IF(Projects!D251="", "No OpCo", Projects!D251))</f>
        <v/>
      </c>
      <c r="E242" t="str">
        <f>IF(Projects!E251&lt;&gt;"",Projects!E251,"")</f>
        <v/>
      </c>
      <c r="F242" t="str">
        <f>IF(Projects!F251&lt;&gt;"",Projects!F251,"")</f>
        <v/>
      </c>
      <c r="G242" s="45" t="str">
        <f>IF(Projects!G251&lt;&gt;"",Projects!G251,"")</f>
        <v/>
      </c>
      <c r="H242" s="45" t="str">
        <f>IF(Projects!H251&lt;&gt;"",Projects!H251,"")</f>
        <v/>
      </c>
      <c r="I242" s="45" t="str">
        <f>IF(Projects!I251&lt;&gt;"",Projects!I251,"")</f>
        <v/>
      </c>
      <c r="J242" s="45" t="str">
        <f>IF(Projects!J251&lt;&gt;"",Projects!J251,"")</f>
        <v/>
      </c>
      <c r="K242" s="45" t="str">
        <f>IF(Projects!K251&lt;&gt;"",Projects!K251,"")</f>
        <v/>
      </c>
      <c r="L242" t="str">
        <f>IF(AND(Projects!E251&lt;&gt;"", Projects!F251&lt;&gt;""),
INDEX('Duration Table'!$D$7:$H$17,MATCH(Projects!E251,'Duration Table'!$C$7:$C$17,0),MATCH(Projects!F251,'Duration Table'!$D$6:$H$6)),
   ""
)</f>
        <v/>
      </c>
      <c r="M242" s="45" t="str" cm="1">
        <f t="array" ref="M242">_xlfn.IFS(
    G242&lt;&gt;"",G242,
    H242&lt;&gt;"",EDATE(H242,-0.25*L242),
    N242&lt;&gt;"",EDATE(N242,-0.25*L242),
    TRUE,""
)</f>
        <v/>
      </c>
      <c r="N242" s="45" t="str" cm="1">
        <f t="array" ref="N242">_xlfn.IFS(
    H242&lt;&gt;"", H242,
    COUNT(G242,I242)=2, (G242 + (DATEDIF(G242,I242,"d")*0.5)),
    COUNT(G242,J242)=2, (G242 + (DATEDIF(G242,J242,"d")*0.25)),
    COUNT(G242,K242)=2, (G242 + ((DATEDIF(G242,K242,"d")-90)*0.25)),
    COUNT(I242,J242)=2, (I242 -(DATEDIF(I242,J242,"d")*0.5)),
    COUNT(I242,K242)=2, (I242 -((DATEDIF(I242,K242,"d")-90)*0.5)),
    G242&lt;&gt;"", EDATE(G242, + L242*0.25),
    I242&lt;&gt;"", EDATE(I242, - L242*0.25),
    J242&lt;&gt;"", EDATE(J242, - L242*0.75),
    K242&lt;&gt;"", EDATE(K242, -((L242*0.75)+3)),
    TRUE, ""
)</f>
        <v/>
      </c>
      <c r="O242" s="45" t="str" cm="1">
        <f t="array" ref="O242">_xlfn.IFS(
    I242&lt;&gt;"", I242,
    COUNT(H242,J242)=2, (H242 + (DATEDIF(H242,J242,"d")*0.33)),
    COUNT(H242,K242)=2, (H242 + ((DATEDIF(H242,K242,"d")-90)*0.33)),
    COUNT(G242,J242)=2, (G242 +  DATEDIF(G242,J242,"d")*0.5),
    COUNT(G242,K242)=2, (G242 + (DATEDIF(G242,K242,"d")-90)*0.5),
    G242&lt;&gt;"", EDATE(G242, + L242*0.5),
    H242&lt;&gt;"", EDATE(H242, + L242*0.25),
    J242&lt;&gt;"", EDATE(J242, - L242*0.5),
    K242&lt;&gt;"", EDATE(K242, -((L242*0.5)+3)),
    TRUE, ""
)</f>
        <v/>
      </c>
      <c r="P242" s="45" t="str" cm="1">
        <f t="array" ref="P242">_xlfn.IFS(
    J242&lt;&gt;"", J242,
    K242&lt;&gt;"", EDATE(K242, -3),
    G242&lt;&gt;"", EDATE(G242, + L242),
    H242&lt;&gt;"", EDATE(H242, + L242*0.75),
    I242&lt;&gt;"", EDATE(I242, H L242*0.5),
    TRUE, ""
)</f>
        <v/>
      </c>
      <c r="Q242" s="45" t="str" cm="1">
        <f t="array" ref="Q242">_xlfn.IFS(
    K242&lt;&gt;"",K242,
    J242&lt;&gt;"",EDATE(J242,3),
    P242&lt;&gt;"",EDATE(P242,3),
    TRUE,""
)</f>
        <v/>
      </c>
    </row>
    <row r="243" spans="1:17" x14ac:dyDescent="0.3">
      <c r="A243" t="str">
        <f>IF(AND(Projects!A252="", Projects!B252=""), "", IF(Projects!A252="", "Unassigned", Projects!A252))</f>
        <v/>
      </c>
      <c r="B243" t="str">
        <f>IF(Projects!B252&lt;&gt;"",Projects!B252,"")</f>
        <v/>
      </c>
      <c r="C243" t="str">
        <f>IF(AND(Projects!C252="", Projects!B252=""), "", IF(Projects!C252="", "None", Projects!C252))</f>
        <v/>
      </c>
      <c r="D243" t="str">
        <f>IF(AND(Projects!D252="", Projects!B252=""), "", IF(Projects!D252="", "No OpCo", Projects!D252))</f>
        <v/>
      </c>
      <c r="E243" t="str">
        <f>IF(Projects!E252&lt;&gt;"",Projects!E252,"")</f>
        <v/>
      </c>
      <c r="F243" t="str">
        <f>IF(Projects!F252&lt;&gt;"",Projects!F252,"")</f>
        <v/>
      </c>
      <c r="G243" s="45" t="str">
        <f>IF(Projects!G252&lt;&gt;"",Projects!G252,"")</f>
        <v/>
      </c>
      <c r="H243" s="45" t="str">
        <f>IF(Projects!H252&lt;&gt;"",Projects!H252,"")</f>
        <v/>
      </c>
      <c r="I243" s="45" t="str">
        <f>IF(Projects!I252&lt;&gt;"",Projects!I252,"")</f>
        <v/>
      </c>
      <c r="J243" s="45" t="str">
        <f>IF(Projects!J252&lt;&gt;"",Projects!J252,"")</f>
        <v/>
      </c>
      <c r="K243" s="45" t="str">
        <f>IF(Projects!K252&lt;&gt;"",Projects!K252,"")</f>
        <v/>
      </c>
      <c r="L243" t="str">
        <f>IF(AND(Projects!E252&lt;&gt;"", Projects!F252&lt;&gt;""),
INDEX('Duration Table'!$D$7:$H$17,MATCH(Projects!E252,'Duration Table'!$C$7:$C$17,0),MATCH(Projects!F252,'Duration Table'!$D$6:$H$6)),
   ""
)</f>
        <v/>
      </c>
      <c r="M243" s="45" t="str" cm="1">
        <f t="array" ref="M243">_xlfn.IFS(
    G243&lt;&gt;"",G243,
    H243&lt;&gt;"",EDATE(H243,-0.25*L243),
    N243&lt;&gt;"",EDATE(N243,-0.25*L243),
    TRUE,""
)</f>
        <v/>
      </c>
      <c r="N243" s="45" t="str" cm="1">
        <f t="array" ref="N243">_xlfn.IFS(
    H243&lt;&gt;"", H243,
    COUNT(G243,I243)=2, (G243 + (DATEDIF(G243,I243,"d")*0.5)),
    COUNT(G243,J243)=2, (G243 + (DATEDIF(G243,J243,"d")*0.25)),
    COUNT(G243,K243)=2, (G243 + ((DATEDIF(G243,K243,"d")-90)*0.25)),
    COUNT(I243,J243)=2, (I243 -(DATEDIF(I243,J243,"d")*0.5)),
    COUNT(I243,K243)=2, (I243 -((DATEDIF(I243,K243,"d")-90)*0.5)),
    G243&lt;&gt;"", EDATE(G243, + L243*0.25),
    I243&lt;&gt;"", EDATE(I243, - L243*0.25),
    J243&lt;&gt;"", EDATE(J243, - L243*0.75),
    K243&lt;&gt;"", EDATE(K243, -((L243*0.75)+3)),
    TRUE, ""
)</f>
        <v/>
      </c>
      <c r="O243" s="45" t="str" cm="1">
        <f t="array" ref="O243">_xlfn.IFS(
    I243&lt;&gt;"", I243,
    COUNT(H243,J243)=2, (H243 + (DATEDIF(H243,J243,"d")*0.33)),
    COUNT(H243,K243)=2, (H243 + ((DATEDIF(H243,K243,"d")-90)*0.33)),
    COUNT(G243,J243)=2, (G243 +  DATEDIF(G243,J243,"d")*0.5),
    COUNT(G243,K243)=2, (G243 + (DATEDIF(G243,K243,"d")-90)*0.5),
    G243&lt;&gt;"", EDATE(G243, + L243*0.5),
    H243&lt;&gt;"", EDATE(H243, + L243*0.25),
    J243&lt;&gt;"", EDATE(J243, - L243*0.5),
    K243&lt;&gt;"", EDATE(K243, -((L243*0.5)+3)),
    TRUE, ""
)</f>
        <v/>
      </c>
      <c r="P243" s="45" t="str" cm="1">
        <f t="array" ref="P243">_xlfn.IFS(
    J243&lt;&gt;"", J243,
    K243&lt;&gt;"", EDATE(K243, -3),
    G243&lt;&gt;"", EDATE(G243, + L243),
    H243&lt;&gt;"", EDATE(H243, + L243*0.75),
    I243&lt;&gt;"", EDATE(I243, H L243*0.5),
    TRUE, ""
)</f>
        <v/>
      </c>
      <c r="Q243" s="45" t="str" cm="1">
        <f t="array" ref="Q243">_xlfn.IFS(
    K243&lt;&gt;"",K243,
    J243&lt;&gt;"",EDATE(J243,3),
    P243&lt;&gt;"",EDATE(P243,3),
    TRUE,""
)</f>
        <v/>
      </c>
    </row>
    <row r="244" spans="1:17" x14ac:dyDescent="0.3">
      <c r="A244" t="str">
        <f>IF(AND(Projects!A253="", Projects!B253=""), "", IF(Projects!A253="", "Unassigned", Projects!A253))</f>
        <v/>
      </c>
      <c r="B244" t="str">
        <f>IF(Projects!B253&lt;&gt;"",Projects!B253,"")</f>
        <v/>
      </c>
      <c r="C244" t="str">
        <f>IF(AND(Projects!C253="", Projects!B253=""), "", IF(Projects!C253="", "None", Projects!C253))</f>
        <v/>
      </c>
      <c r="D244" t="str">
        <f>IF(AND(Projects!D253="", Projects!B253=""), "", IF(Projects!D253="", "No OpCo", Projects!D253))</f>
        <v/>
      </c>
      <c r="E244" t="str">
        <f>IF(Projects!E253&lt;&gt;"",Projects!E253,"")</f>
        <v/>
      </c>
      <c r="F244" t="str">
        <f>IF(Projects!F253&lt;&gt;"",Projects!F253,"")</f>
        <v/>
      </c>
      <c r="G244" s="45" t="str">
        <f>IF(Projects!G253&lt;&gt;"",Projects!G253,"")</f>
        <v/>
      </c>
      <c r="H244" s="45" t="str">
        <f>IF(Projects!H253&lt;&gt;"",Projects!H253,"")</f>
        <v/>
      </c>
      <c r="I244" s="45" t="str">
        <f>IF(Projects!I253&lt;&gt;"",Projects!I253,"")</f>
        <v/>
      </c>
      <c r="J244" s="45" t="str">
        <f>IF(Projects!J253&lt;&gt;"",Projects!J253,"")</f>
        <v/>
      </c>
      <c r="K244" s="45" t="str">
        <f>IF(Projects!K253&lt;&gt;"",Projects!K253,"")</f>
        <v/>
      </c>
      <c r="L244" t="str">
        <f>IF(AND(Projects!E253&lt;&gt;"", Projects!F253&lt;&gt;""),
INDEX('Duration Table'!$D$7:$H$17,MATCH(Projects!E253,'Duration Table'!$C$7:$C$17,0),MATCH(Projects!F253,'Duration Table'!$D$6:$H$6)),
   ""
)</f>
        <v/>
      </c>
      <c r="M244" s="45" t="str" cm="1">
        <f t="array" ref="M244">_xlfn.IFS(
    G244&lt;&gt;"",G244,
    H244&lt;&gt;"",EDATE(H244,-0.25*L244),
    N244&lt;&gt;"",EDATE(N244,-0.25*L244),
    TRUE,""
)</f>
        <v/>
      </c>
      <c r="N244" s="45" t="str" cm="1">
        <f t="array" ref="N244">_xlfn.IFS(
    H244&lt;&gt;"", H244,
    COUNT(G244,I244)=2, (G244 + (DATEDIF(G244,I244,"d")*0.5)),
    COUNT(G244,J244)=2, (G244 + (DATEDIF(G244,J244,"d")*0.25)),
    COUNT(G244,K244)=2, (G244 + ((DATEDIF(G244,K244,"d")-90)*0.25)),
    COUNT(I244,J244)=2, (I244 -(DATEDIF(I244,J244,"d")*0.5)),
    COUNT(I244,K244)=2, (I244 -((DATEDIF(I244,K244,"d")-90)*0.5)),
    G244&lt;&gt;"", EDATE(G244, + L244*0.25),
    I244&lt;&gt;"", EDATE(I244, - L244*0.25),
    J244&lt;&gt;"", EDATE(J244, - L244*0.75),
    K244&lt;&gt;"", EDATE(K244, -((L244*0.75)+3)),
    TRUE, ""
)</f>
        <v/>
      </c>
      <c r="O244" s="45" t="str" cm="1">
        <f t="array" ref="O244">_xlfn.IFS(
    I244&lt;&gt;"", I244,
    COUNT(H244,J244)=2, (H244 + (DATEDIF(H244,J244,"d")*0.33)),
    COUNT(H244,K244)=2, (H244 + ((DATEDIF(H244,K244,"d")-90)*0.33)),
    COUNT(G244,J244)=2, (G244 +  DATEDIF(G244,J244,"d")*0.5),
    COUNT(G244,K244)=2, (G244 + (DATEDIF(G244,K244,"d")-90)*0.5),
    G244&lt;&gt;"", EDATE(G244, + L244*0.5),
    H244&lt;&gt;"", EDATE(H244, + L244*0.25),
    J244&lt;&gt;"", EDATE(J244, - L244*0.5),
    K244&lt;&gt;"", EDATE(K244, -((L244*0.5)+3)),
    TRUE, ""
)</f>
        <v/>
      </c>
      <c r="P244" s="45" t="str" cm="1">
        <f t="array" ref="P244">_xlfn.IFS(
    J244&lt;&gt;"", J244,
    K244&lt;&gt;"", EDATE(K244, -3),
    G244&lt;&gt;"", EDATE(G244, + L244),
    H244&lt;&gt;"", EDATE(H244, + L244*0.75),
    I244&lt;&gt;"", EDATE(I244, H L244*0.5),
    TRUE, ""
)</f>
        <v/>
      </c>
      <c r="Q244" s="45" t="str" cm="1">
        <f t="array" ref="Q244">_xlfn.IFS(
    K244&lt;&gt;"",K244,
    J244&lt;&gt;"",EDATE(J244,3),
    P244&lt;&gt;"",EDATE(P244,3),
    TRUE,""
)</f>
        <v/>
      </c>
    </row>
    <row r="245" spans="1:17" x14ac:dyDescent="0.3">
      <c r="A245" t="str">
        <f>IF(AND(Projects!A254="", Projects!B254=""), "", IF(Projects!A254="", "Unassigned", Projects!A254))</f>
        <v/>
      </c>
      <c r="B245" t="str">
        <f>IF(Projects!B254&lt;&gt;"",Projects!B254,"")</f>
        <v/>
      </c>
      <c r="C245" t="str">
        <f>IF(AND(Projects!C254="", Projects!B254=""), "", IF(Projects!C254="", "None", Projects!C254))</f>
        <v/>
      </c>
      <c r="D245" t="str">
        <f>IF(AND(Projects!D254="", Projects!B254=""), "", IF(Projects!D254="", "No OpCo", Projects!D254))</f>
        <v/>
      </c>
      <c r="E245" t="str">
        <f>IF(Projects!E254&lt;&gt;"",Projects!E254,"")</f>
        <v/>
      </c>
      <c r="F245" t="str">
        <f>IF(Projects!F254&lt;&gt;"",Projects!F254,"")</f>
        <v/>
      </c>
      <c r="G245" s="45" t="str">
        <f>IF(Projects!G254&lt;&gt;"",Projects!G254,"")</f>
        <v/>
      </c>
      <c r="H245" s="45" t="str">
        <f>IF(Projects!H254&lt;&gt;"",Projects!H254,"")</f>
        <v/>
      </c>
      <c r="I245" s="45" t="str">
        <f>IF(Projects!I254&lt;&gt;"",Projects!I254,"")</f>
        <v/>
      </c>
      <c r="J245" s="45" t="str">
        <f>IF(Projects!J254&lt;&gt;"",Projects!J254,"")</f>
        <v/>
      </c>
      <c r="K245" s="45" t="str">
        <f>IF(Projects!K254&lt;&gt;"",Projects!K254,"")</f>
        <v/>
      </c>
      <c r="L245" t="str">
        <f>IF(AND(Projects!E254&lt;&gt;"", Projects!F254&lt;&gt;""),
INDEX('Duration Table'!$D$7:$H$17,MATCH(Projects!E254,'Duration Table'!$C$7:$C$17,0),MATCH(Projects!F254,'Duration Table'!$D$6:$H$6)),
   ""
)</f>
        <v/>
      </c>
      <c r="M245" s="45" t="str" cm="1">
        <f t="array" ref="M245">_xlfn.IFS(
    G245&lt;&gt;"",G245,
    H245&lt;&gt;"",EDATE(H245,-0.25*L245),
    N245&lt;&gt;"",EDATE(N245,-0.25*L245),
    TRUE,""
)</f>
        <v/>
      </c>
      <c r="N245" s="45" t="str" cm="1">
        <f t="array" ref="N245">_xlfn.IFS(
    H245&lt;&gt;"", H245,
    COUNT(G245,I245)=2, (G245 + (DATEDIF(G245,I245,"d")*0.5)),
    COUNT(G245,J245)=2, (G245 + (DATEDIF(G245,J245,"d")*0.25)),
    COUNT(G245,K245)=2, (G245 + ((DATEDIF(G245,K245,"d")-90)*0.25)),
    COUNT(I245,J245)=2, (I245 -(DATEDIF(I245,J245,"d")*0.5)),
    COUNT(I245,K245)=2, (I245 -((DATEDIF(I245,K245,"d")-90)*0.5)),
    G245&lt;&gt;"", EDATE(G245, + L245*0.25),
    I245&lt;&gt;"", EDATE(I245, - L245*0.25),
    J245&lt;&gt;"", EDATE(J245, - L245*0.75),
    K245&lt;&gt;"", EDATE(K245, -((L245*0.75)+3)),
    TRUE, ""
)</f>
        <v/>
      </c>
      <c r="O245" s="45" t="str" cm="1">
        <f t="array" ref="O245">_xlfn.IFS(
    I245&lt;&gt;"", I245,
    COUNT(H245,J245)=2, (H245 + (DATEDIF(H245,J245,"d")*0.33)),
    COUNT(H245,K245)=2, (H245 + ((DATEDIF(H245,K245,"d")-90)*0.33)),
    COUNT(G245,J245)=2, (G245 +  DATEDIF(G245,J245,"d")*0.5),
    COUNT(G245,K245)=2, (G245 + (DATEDIF(G245,K245,"d")-90)*0.5),
    G245&lt;&gt;"", EDATE(G245, + L245*0.5),
    H245&lt;&gt;"", EDATE(H245, + L245*0.25),
    J245&lt;&gt;"", EDATE(J245, - L245*0.5),
    K245&lt;&gt;"", EDATE(K245, -((L245*0.5)+3)),
    TRUE, ""
)</f>
        <v/>
      </c>
      <c r="P245" s="45" t="str" cm="1">
        <f t="array" ref="P245">_xlfn.IFS(
    J245&lt;&gt;"", J245,
    K245&lt;&gt;"", EDATE(K245, -3),
    G245&lt;&gt;"", EDATE(G245, + L245),
    H245&lt;&gt;"", EDATE(H245, + L245*0.75),
    I245&lt;&gt;"", EDATE(I245, H L245*0.5),
    TRUE, ""
)</f>
        <v/>
      </c>
      <c r="Q245" s="45" t="str" cm="1">
        <f t="array" ref="Q245">_xlfn.IFS(
    K245&lt;&gt;"",K245,
    J245&lt;&gt;"",EDATE(J245,3),
    P245&lt;&gt;"",EDATE(P245,3),
    TRUE,""
)</f>
        <v/>
      </c>
    </row>
    <row r="246" spans="1:17" x14ac:dyDescent="0.3">
      <c r="A246" t="str">
        <f>IF(AND(Projects!A255="", Projects!B255=""), "", IF(Projects!A255="", "Unassigned", Projects!A255))</f>
        <v/>
      </c>
      <c r="B246" t="str">
        <f>IF(Projects!B255&lt;&gt;"",Projects!B255,"")</f>
        <v/>
      </c>
      <c r="C246" t="str">
        <f>IF(AND(Projects!C255="", Projects!B255=""), "", IF(Projects!C255="", "None", Projects!C255))</f>
        <v/>
      </c>
      <c r="D246" t="str">
        <f>IF(AND(Projects!D255="", Projects!B255=""), "", IF(Projects!D255="", "No OpCo", Projects!D255))</f>
        <v/>
      </c>
      <c r="E246" t="str">
        <f>IF(Projects!E255&lt;&gt;"",Projects!E255,"")</f>
        <v/>
      </c>
      <c r="F246" t="str">
        <f>IF(Projects!F255&lt;&gt;"",Projects!F255,"")</f>
        <v/>
      </c>
      <c r="G246" s="45" t="str">
        <f>IF(Projects!G255&lt;&gt;"",Projects!G255,"")</f>
        <v/>
      </c>
      <c r="H246" s="45" t="str">
        <f>IF(Projects!H255&lt;&gt;"",Projects!H255,"")</f>
        <v/>
      </c>
      <c r="I246" s="45" t="str">
        <f>IF(Projects!I255&lt;&gt;"",Projects!I255,"")</f>
        <v/>
      </c>
      <c r="J246" s="45" t="str">
        <f>IF(Projects!J255&lt;&gt;"",Projects!J255,"")</f>
        <v/>
      </c>
      <c r="K246" s="45" t="str">
        <f>IF(Projects!K255&lt;&gt;"",Projects!K255,"")</f>
        <v/>
      </c>
      <c r="L246" t="str">
        <f>IF(AND(Projects!E255&lt;&gt;"", Projects!F255&lt;&gt;""),
INDEX('Duration Table'!$D$7:$H$17,MATCH(Projects!E255,'Duration Table'!$C$7:$C$17,0),MATCH(Projects!F255,'Duration Table'!$D$6:$H$6)),
   ""
)</f>
        <v/>
      </c>
      <c r="M246" s="45" t="str" cm="1">
        <f t="array" ref="M246">_xlfn.IFS(
    G246&lt;&gt;"",G246,
    H246&lt;&gt;"",EDATE(H246,-0.25*L246),
    N246&lt;&gt;"",EDATE(N246,-0.25*L246),
    TRUE,""
)</f>
        <v/>
      </c>
      <c r="N246" s="45" t="str" cm="1">
        <f t="array" ref="N246">_xlfn.IFS(
    H246&lt;&gt;"", H246,
    COUNT(G246,I246)=2, (G246 + (DATEDIF(G246,I246,"d")*0.5)),
    COUNT(G246,J246)=2, (G246 + (DATEDIF(G246,J246,"d")*0.25)),
    COUNT(G246,K246)=2, (G246 + ((DATEDIF(G246,K246,"d")-90)*0.25)),
    COUNT(I246,J246)=2, (I246 -(DATEDIF(I246,J246,"d")*0.5)),
    COUNT(I246,K246)=2, (I246 -((DATEDIF(I246,K246,"d")-90)*0.5)),
    G246&lt;&gt;"", EDATE(G246, + L246*0.25),
    I246&lt;&gt;"", EDATE(I246, - L246*0.25),
    J246&lt;&gt;"", EDATE(J246, - L246*0.75),
    K246&lt;&gt;"", EDATE(K246, -((L246*0.75)+3)),
    TRUE, ""
)</f>
        <v/>
      </c>
      <c r="O246" s="45" t="str" cm="1">
        <f t="array" ref="O246">_xlfn.IFS(
    I246&lt;&gt;"", I246,
    COUNT(H246,J246)=2, (H246 + (DATEDIF(H246,J246,"d")*0.33)),
    COUNT(H246,K246)=2, (H246 + ((DATEDIF(H246,K246,"d")-90)*0.33)),
    COUNT(G246,J246)=2, (G246 +  DATEDIF(G246,J246,"d")*0.5),
    COUNT(G246,K246)=2, (G246 + (DATEDIF(G246,K246,"d")-90)*0.5),
    G246&lt;&gt;"", EDATE(G246, + L246*0.5),
    H246&lt;&gt;"", EDATE(H246, + L246*0.25),
    J246&lt;&gt;"", EDATE(J246, - L246*0.5),
    K246&lt;&gt;"", EDATE(K246, -((L246*0.5)+3)),
    TRUE, ""
)</f>
        <v/>
      </c>
      <c r="P246" s="45" t="str" cm="1">
        <f t="array" ref="P246">_xlfn.IFS(
    J246&lt;&gt;"", J246,
    K246&lt;&gt;"", EDATE(K246, -3),
    G246&lt;&gt;"", EDATE(G246, + L246),
    H246&lt;&gt;"", EDATE(H246, + L246*0.75),
    I246&lt;&gt;"", EDATE(I246, H L246*0.5),
    TRUE, ""
)</f>
        <v/>
      </c>
      <c r="Q246" s="45" t="str" cm="1">
        <f t="array" ref="Q246">_xlfn.IFS(
    K246&lt;&gt;"",K246,
    J246&lt;&gt;"",EDATE(J246,3),
    P246&lt;&gt;"",EDATE(P246,3),
    TRUE,""
)</f>
        <v/>
      </c>
    </row>
    <row r="247" spans="1:17" x14ac:dyDescent="0.3">
      <c r="A247" t="str">
        <f>IF(AND(Projects!A256="", Projects!B256=""), "", IF(Projects!A256="", "Unassigned", Projects!A256))</f>
        <v/>
      </c>
      <c r="B247" t="str">
        <f>IF(Projects!B256&lt;&gt;"",Projects!B256,"")</f>
        <v/>
      </c>
      <c r="C247" t="str">
        <f>IF(AND(Projects!C256="", Projects!B256=""), "", IF(Projects!C256="", "None", Projects!C256))</f>
        <v/>
      </c>
      <c r="D247" t="str">
        <f>IF(AND(Projects!D256="", Projects!B256=""), "", IF(Projects!D256="", "No OpCo", Projects!D256))</f>
        <v/>
      </c>
      <c r="E247" t="str">
        <f>IF(Projects!E256&lt;&gt;"",Projects!E256,"")</f>
        <v/>
      </c>
      <c r="F247" t="str">
        <f>IF(Projects!F256&lt;&gt;"",Projects!F256,"")</f>
        <v/>
      </c>
      <c r="G247" s="45" t="str">
        <f>IF(Projects!G256&lt;&gt;"",Projects!G256,"")</f>
        <v/>
      </c>
      <c r="H247" s="45" t="str">
        <f>IF(Projects!H256&lt;&gt;"",Projects!H256,"")</f>
        <v/>
      </c>
      <c r="I247" s="45" t="str">
        <f>IF(Projects!I256&lt;&gt;"",Projects!I256,"")</f>
        <v/>
      </c>
      <c r="J247" s="45" t="str">
        <f>IF(Projects!J256&lt;&gt;"",Projects!J256,"")</f>
        <v/>
      </c>
      <c r="K247" s="45" t="str">
        <f>IF(Projects!K256&lt;&gt;"",Projects!K256,"")</f>
        <v/>
      </c>
      <c r="L247" t="str">
        <f>IF(AND(Projects!E256&lt;&gt;"", Projects!F256&lt;&gt;""),
INDEX('Duration Table'!$D$7:$H$17,MATCH(Projects!E256,'Duration Table'!$C$7:$C$17,0),MATCH(Projects!F256,'Duration Table'!$D$6:$H$6)),
   ""
)</f>
        <v/>
      </c>
      <c r="M247" s="45" t="str" cm="1">
        <f t="array" ref="M247">_xlfn.IFS(
    G247&lt;&gt;"",G247,
    H247&lt;&gt;"",EDATE(H247,-0.25*L247),
    N247&lt;&gt;"",EDATE(N247,-0.25*L247),
    TRUE,""
)</f>
        <v/>
      </c>
      <c r="N247" s="45" t="str" cm="1">
        <f t="array" ref="N247">_xlfn.IFS(
    H247&lt;&gt;"", H247,
    COUNT(G247,I247)=2, (G247 + (DATEDIF(G247,I247,"d")*0.5)),
    COUNT(G247,J247)=2, (G247 + (DATEDIF(G247,J247,"d")*0.25)),
    COUNT(G247,K247)=2, (G247 + ((DATEDIF(G247,K247,"d")-90)*0.25)),
    COUNT(I247,J247)=2, (I247 -(DATEDIF(I247,J247,"d")*0.5)),
    COUNT(I247,K247)=2, (I247 -((DATEDIF(I247,K247,"d")-90)*0.5)),
    G247&lt;&gt;"", EDATE(G247, + L247*0.25),
    I247&lt;&gt;"", EDATE(I247, - L247*0.25),
    J247&lt;&gt;"", EDATE(J247, - L247*0.75),
    K247&lt;&gt;"", EDATE(K247, -((L247*0.75)+3)),
    TRUE, ""
)</f>
        <v/>
      </c>
      <c r="O247" s="45" t="str" cm="1">
        <f t="array" ref="O247">_xlfn.IFS(
    I247&lt;&gt;"", I247,
    COUNT(H247,J247)=2, (H247 + (DATEDIF(H247,J247,"d")*0.33)),
    COUNT(H247,K247)=2, (H247 + ((DATEDIF(H247,K247,"d")-90)*0.33)),
    COUNT(G247,J247)=2, (G247 +  DATEDIF(G247,J247,"d")*0.5),
    COUNT(G247,K247)=2, (G247 + (DATEDIF(G247,K247,"d")-90)*0.5),
    G247&lt;&gt;"", EDATE(G247, + L247*0.5),
    H247&lt;&gt;"", EDATE(H247, + L247*0.25),
    J247&lt;&gt;"", EDATE(J247, - L247*0.5),
    K247&lt;&gt;"", EDATE(K247, -((L247*0.5)+3)),
    TRUE, ""
)</f>
        <v/>
      </c>
      <c r="P247" s="45" t="str" cm="1">
        <f t="array" ref="P247">_xlfn.IFS(
    J247&lt;&gt;"", J247,
    K247&lt;&gt;"", EDATE(K247, -3),
    G247&lt;&gt;"", EDATE(G247, + L247),
    H247&lt;&gt;"", EDATE(H247, + L247*0.75),
    I247&lt;&gt;"", EDATE(I247, H L247*0.5),
    TRUE, ""
)</f>
        <v/>
      </c>
      <c r="Q247" s="45" t="str" cm="1">
        <f t="array" ref="Q247">_xlfn.IFS(
    K247&lt;&gt;"",K247,
    J247&lt;&gt;"",EDATE(J247,3),
    P247&lt;&gt;"",EDATE(P247,3),
    TRUE,""
)</f>
        <v/>
      </c>
    </row>
    <row r="248" spans="1:17" x14ac:dyDescent="0.3">
      <c r="A248" t="str">
        <f>IF(AND(Projects!A257="", Projects!B257=""), "", IF(Projects!A257="", "Unassigned", Projects!A257))</f>
        <v/>
      </c>
      <c r="B248" t="str">
        <f>IF(Projects!B257&lt;&gt;"",Projects!B257,"")</f>
        <v/>
      </c>
      <c r="C248" t="str">
        <f>IF(AND(Projects!C257="", Projects!B257=""), "", IF(Projects!C257="", "None", Projects!C257))</f>
        <v/>
      </c>
      <c r="D248" t="str">
        <f>IF(AND(Projects!D257="", Projects!B257=""), "", IF(Projects!D257="", "No OpCo", Projects!D257))</f>
        <v/>
      </c>
      <c r="E248" t="str">
        <f>IF(Projects!E257&lt;&gt;"",Projects!E257,"")</f>
        <v/>
      </c>
      <c r="F248" t="str">
        <f>IF(Projects!F257&lt;&gt;"",Projects!F257,"")</f>
        <v/>
      </c>
      <c r="G248" s="45" t="str">
        <f>IF(Projects!G257&lt;&gt;"",Projects!G257,"")</f>
        <v/>
      </c>
      <c r="H248" s="45" t="str">
        <f>IF(Projects!H257&lt;&gt;"",Projects!H257,"")</f>
        <v/>
      </c>
      <c r="I248" s="45" t="str">
        <f>IF(Projects!I257&lt;&gt;"",Projects!I257,"")</f>
        <v/>
      </c>
      <c r="J248" s="45" t="str">
        <f>IF(Projects!J257&lt;&gt;"",Projects!J257,"")</f>
        <v/>
      </c>
      <c r="K248" s="45" t="str">
        <f>IF(Projects!K257&lt;&gt;"",Projects!K257,"")</f>
        <v/>
      </c>
      <c r="L248" t="str">
        <f>IF(AND(Projects!E257&lt;&gt;"", Projects!F257&lt;&gt;""),
INDEX('Duration Table'!$D$7:$H$17,MATCH(Projects!E257,'Duration Table'!$C$7:$C$17,0),MATCH(Projects!F257,'Duration Table'!$D$6:$H$6)),
   ""
)</f>
        <v/>
      </c>
      <c r="M248" s="45" t="str" cm="1">
        <f t="array" ref="M248">_xlfn.IFS(
    G248&lt;&gt;"",G248,
    H248&lt;&gt;"",EDATE(H248,-0.25*L248),
    N248&lt;&gt;"",EDATE(N248,-0.25*L248),
    TRUE,""
)</f>
        <v/>
      </c>
      <c r="N248" s="45" t="str" cm="1">
        <f t="array" ref="N248">_xlfn.IFS(
    H248&lt;&gt;"", H248,
    COUNT(G248,I248)=2, (G248 + (DATEDIF(G248,I248,"d")*0.5)),
    COUNT(G248,J248)=2, (G248 + (DATEDIF(G248,J248,"d")*0.25)),
    COUNT(G248,K248)=2, (G248 + ((DATEDIF(G248,K248,"d")-90)*0.25)),
    COUNT(I248,J248)=2, (I248 -(DATEDIF(I248,J248,"d")*0.5)),
    COUNT(I248,K248)=2, (I248 -((DATEDIF(I248,K248,"d")-90)*0.5)),
    G248&lt;&gt;"", EDATE(G248, + L248*0.25),
    I248&lt;&gt;"", EDATE(I248, - L248*0.25),
    J248&lt;&gt;"", EDATE(J248, - L248*0.75),
    K248&lt;&gt;"", EDATE(K248, -((L248*0.75)+3)),
    TRUE, ""
)</f>
        <v/>
      </c>
      <c r="O248" s="45" t="str" cm="1">
        <f t="array" ref="O248">_xlfn.IFS(
    I248&lt;&gt;"", I248,
    COUNT(H248,J248)=2, (H248 + (DATEDIF(H248,J248,"d")*0.33)),
    COUNT(H248,K248)=2, (H248 + ((DATEDIF(H248,K248,"d")-90)*0.33)),
    COUNT(G248,J248)=2, (G248 +  DATEDIF(G248,J248,"d")*0.5),
    COUNT(G248,K248)=2, (G248 + (DATEDIF(G248,K248,"d")-90)*0.5),
    G248&lt;&gt;"", EDATE(G248, + L248*0.5),
    H248&lt;&gt;"", EDATE(H248, + L248*0.25),
    J248&lt;&gt;"", EDATE(J248, - L248*0.5),
    K248&lt;&gt;"", EDATE(K248, -((L248*0.5)+3)),
    TRUE, ""
)</f>
        <v/>
      </c>
      <c r="P248" s="45" t="str" cm="1">
        <f t="array" ref="P248">_xlfn.IFS(
    J248&lt;&gt;"", J248,
    K248&lt;&gt;"", EDATE(K248, -3),
    G248&lt;&gt;"", EDATE(G248, + L248),
    H248&lt;&gt;"", EDATE(H248, + L248*0.75),
    I248&lt;&gt;"", EDATE(I248, H L248*0.5),
    TRUE, ""
)</f>
        <v/>
      </c>
      <c r="Q248" s="45" t="str" cm="1">
        <f t="array" ref="Q248">_xlfn.IFS(
    K248&lt;&gt;"",K248,
    J248&lt;&gt;"",EDATE(J248,3),
    P248&lt;&gt;"",EDATE(P248,3),
    TRUE,""
)</f>
        <v/>
      </c>
    </row>
    <row r="249" spans="1:17" x14ac:dyDescent="0.3">
      <c r="A249" t="str">
        <f>IF(AND(Projects!A258="", Projects!B258=""), "", IF(Projects!A258="", "Unassigned", Projects!A258))</f>
        <v/>
      </c>
      <c r="B249" t="str">
        <f>IF(Projects!B258&lt;&gt;"",Projects!B258,"")</f>
        <v/>
      </c>
      <c r="C249" t="str">
        <f>IF(AND(Projects!C258="", Projects!B258=""), "", IF(Projects!C258="", "None", Projects!C258))</f>
        <v/>
      </c>
      <c r="D249" t="str">
        <f>IF(AND(Projects!D258="", Projects!B258=""), "", IF(Projects!D258="", "No OpCo", Projects!D258))</f>
        <v/>
      </c>
      <c r="E249" t="str">
        <f>IF(Projects!E258&lt;&gt;"",Projects!E258,"")</f>
        <v/>
      </c>
      <c r="F249" t="str">
        <f>IF(Projects!F258&lt;&gt;"",Projects!F258,"")</f>
        <v/>
      </c>
      <c r="G249" s="45" t="str">
        <f>IF(Projects!G258&lt;&gt;"",Projects!G258,"")</f>
        <v/>
      </c>
      <c r="H249" s="45" t="str">
        <f>IF(Projects!H258&lt;&gt;"",Projects!H258,"")</f>
        <v/>
      </c>
      <c r="I249" s="45" t="str">
        <f>IF(Projects!I258&lt;&gt;"",Projects!I258,"")</f>
        <v/>
      </c>
      <c r="J249" s="45" t="str">
        <f>IF(Projects!J258&lt;&gt;"",Projects!J258,"")</f>
        <v/>
      </c>
      <c r="K249" s="45" t="str">
        <f>IF(Projects!K258&lt;&gt;"",Projects!K258,"")</f>
        <v/>
      </c>
      <c r="L249" t="str">
        <f>IF(AND(Projects!E258&lt;&gt;"", Projects!F258&lt;&gt;""),
INDEX('Duration Table'!$D$7:$H$17,MATCH(Projects!E258,'Duration Table'!$C$7:$C$17,0),MATCH(Projects!F258,'Duration Table'!$D$6:$H$6)),
   ""
)</f>
        <v/>
      </c>
      <c r="M249" s="45" t="str" cm="1">
        <f t="array" ref="M249">_xlfn.IFS(
    G249&lt;&gt;"",G249,
    H249&lt;&gt;"",EDATE(H249,-0.25*L249),
    N249&lt;&gt;"",EDATE(N249,-0.25*L249),
    TRUE,""
)</f>
        <v/>
      </c>
      <c r="N249" s="45" t="str" cm="1">
        <f t="array" ref="N249">_xlfn.IFS(
    H249&lt;&gt;"", H249,
    COUNT(G249,I249)=2, (G249 + (DATEDIF(G249,I249,"d")*0.5)),
    COUNT(G249,J249)=2, (G249 + (DATEDIF(G249,J249,"d")*0.25)),
    COUNT(G249,K249)=2, (G249 + ((DATEDIF(G249,K249,"d")-90)*0.25)),
    COUNT(I249,J249)=2, (I249 -(DATEDIF(I249,J249,"d")*0.5)),
    COUNT(I249,K249)=2, (I249 -((DATEDIF(I249,K249,"d")-90)*0.5)),
    G249&lt;&gt;"", EDATE(G249, + L249*0.25),
    I249&lt;&gt;"", EDATE(I249, - L249*0.25),
    J249&lt;&gt;"", EDATE(J249, - L249*0.75),
    K249&lt;&gt;"", EDATE(K249, -((L249*0.75)+3)),
    TRUE, ""
)</f>
        <v/>
      </c>
      <c r="O249" s="45" t="str" cm="1">
        <f t="array" ref="O249">_xlfn.IFS(
    I249&lt;&gt;"", I249,
    COUNT(H249,J249)=2, (H249 + (DATEDIF(H249,J249,"d")*0.33)),
    COUNT(H249,K249)=2, (H249 + ((DATEDIF(H249,K249,"d")-90)*0.33)),
    COUNT(G249,J249)=2, (G249 +  DATEDIF(G249,J249,"d")*0.5),
    COUNT(G249,K249)=2, (G249 + (DATEDIF(G249,K249,"d")-90)*0.5),
    G249&lt;&gt;"", EDATE(G249, + L249*0.5),
    H249&lt;&gt;"", EDATE(H249, + L249*0.25),
    J249&lt;&gt;"", EDATE(J249, - L249*0.5),
    K249&lt;&gt;"", EDATE(K249, -((L249*0.5)+3)),
    TRUE, ""
)</f>
        <v/>
      </c>
      <c r="P249" s="45" t="str" cm="1">
        <f t="array" ref="P249">_xlfn.IFS(
    J249&lt;&gt;"", J249,
    K249&lt;&gt;"", EDATE(K249, -3),
    G249&lt;&gt;"", EDATE(G249, + L249),
    H249&lt;&gt;"", EDATE(H249, + L249*0.75),
    I249&lt;&gt;"", EDATE(I249, H L249*0.5),
    TRUE, ""
)</f>
        <v/>
      </c>
      <c r="Q249" s="45" t="str" cm="1">
        <f t="array" ref="Q249">_xlfn.IFS(
    K249&lt;&gt;"",K249,
    J249&lt;&gt;"",EDATE(J249,3),
    P249&lt;&gt;"",EDATE(P249,3),
    TRUE,""
)</f>
        <v/>
      </c>
    </row>
    <row r="250" spans="1:17" x14ac:dyDescent="0.3">
      <c r="A250" t="str">
        <f>IF(AND(Projects!A259="", Projects!B259=""), "", IF(Projects!A259="", "Unassigned", Projects!A259))</f>
        <v/>
      </c>
      <c r="B250" t="str">
        <f>IF(Projects!B259&lt;&gt;"",Projects!B259,"")</f>
        <v/>
      </c>
      <c r="C250" t="str">
        <f>IF(AND(Projects!C259="", Projects!B259=""), "", IF(Projects!C259="", "None", Projects!C259))</f>
        <v/>
      </c>
      <c r="D250" t="str">
        <f>IF(AND(Projects!D259="", Projects!B259=""), "", IF(Projects!D259="", "No OpCo", Projects!D259))</f>
        <v/>
      </c>
      <c r="E250" t="str">
        <f>IF(Projects!E259&lt;&gt;"",Projects!E259,"")</f>
        <v/>
      </c>
      <c r="F250" t="str">
        <f>IF(Projects!F259&lt;&gt;"",Projects!F259,"")</f>
        <v/>
      </c>
      <c r="G250" s="45" t="str">
        <f>IF(Projects!G259&lt;&gt;"",Projects!G259,"")</f>
        <v/>
      </c>
      <c r="H250" s="45" t="str">
        <f>IF(Projects!H259&lt;&gt;"",Projects!H259,"")</f>
        <v/>
      </c>
      <c r="I250" s="45" t="str">
        <f>IF(Projects!I259&lt;&gt;"",Projects!I259,"")</f>
        <v/>
      </c>
      <c r="J250" s="45" t="str">
        <f>IF(Projects!J259&lt;&gt;"",Projects!J259,"")</f>
        <v/>
      </c>
      <c r="K250" s="45" t="str">
        <f>IF(Projects!K259&lt;&gt;"",Projects!K259,"")</f>
        <v/>
      </c>
      <c r="L250" t="str">
        <f>IF(AND(Projects!E259&lt;&gt;"", Projects!F259&lt;&gt;""),
INDEX('Duration Table'!$D$7:$H$17,MATCH(Projects!E259,'Duration Table'!$C$7:$C$17,0),MATCH(Projects!F259,'Duration Table'!$D$6:$H$6)),
   ""
)</f>
        <v/>
      </c>
      <c r="M250" s="45" t="str" cm="1">
        <f t="array" ref="M250">_xlfn.IFS(
    G250&lt;&gt;"",G250,
    H250&lt;&gt;"",EDATE(H250,-0.25*L250),
    N250&lt;&gt;"",EDATE(N250,-0.25*L250),
    TRUE,""
)</f>
        <v/>
      </c>
      <c r="N250" s="45" t="str" cm="1">
        <f t="array" ref="N250">_xlfn.IFS(
    H250&lt;&gt;"", H250,
    COUNT(G250,I250)=2, (G250 + (DATEDIF(G250,I250,"d")*0.5)),
    COUNT(G250,J250)=2, (G250 + (DATEDIF(G250,J250,"d")*0.25)),
    COUNT(G250,K250)=2, (G250 + ((DATEDIF(G250,K250,"d")-90)*0.25)),
    COUNT(I250,J250)=2, (I250 -(DATEDIF(I250,J250,"d")*0.5)),
    COUNT(I250,K250)=2, (I250 -((DATEDIF(I250,K250,"d")-90)*0.5)),
    G250&lt;&gt;"", EDATE(G250, + L250*0.25),
    I250&lt;&gt;"", EDATE(I250, - L250*0.25),
    J250&lt;&gt;"", EDATE(J250, - L250*0.75),
    K250&lt;&gt;"", EDATE(K250, -((L250*0.75)+3)),
    TRUE, ""
)</f>
        <v/>
      </c>
      <c r="O250" s="45" t="str" cm="1">
        <f t="array" ref="O250">_xlfn.IFS(
    I250&lt;&gt;"", I250,
    COUNT(H250,J250)=2, (H250 + (DATEDIF(H250,J250,"d")*0.33)),
    COUNT(H250,K250)=2, (H250 + ((DATEDIF(H250,K250,"d")-90)*0.33)),
    COUNT(G250,J250)=2, (G250 +  DATEDIF(G250,J250,"d")*0.5),
    COUNT(G250,K250)=2, (G250 + (DATEDIF(G250,K250,"d")-90)*0.5),
    G250&lt;&gt;"", EDATE(G250, + L250*0.5),
    H250&lt;&gt;"", EDATE(H250, + L250*0.25),
    J250&lt;&gt;"", EDATE(J250, - L250*0.5),
    K250&lt;&gt;"", EDATE(K250, -((L250*0.5)+3)),
    TRUE, ""
)</f>
        <v/>
      </c>
      <c r="P250" s="45" t="str" cm="1">
        <f t="array" ref="P250">_xlfn.IFS(
    J250&lt;&gt;"", J250,
    K250&lt;&gt;"", EDATE(K250, -3),
    G250&lt;&gt;"", EDATE(G250, + L250),
    H250&lt;&gt;"", EDATE(H250, + L250*0.75),
    I250&lt;&gt;"", EDATE(I250, H L250*0.5),
    TRUE, ""
)</f>
        <v/>
      </c>
      <c r="Q250" s="45" t="str" cm="1">
        <f t="array" ref="Q250">_xlfn.IFS(
    K250&lt;&gt;"",K250,
    J250&lt;&gt;"",EDATE(J250,3),
    P250&lt;&gt;"",EDATE(P250,3),
    TRUE,""
)</f>
        <v/>
      </c>
    </row>
    <row r="251" spans="1:17" x14ac:dyDescent="0.3">
      <c r="A251" t="str">
        <f>IF(AND(Projects!A260="", Projects!B260=""), "", IF(Projects!A260="", "Unassigned", Projects!A260))</f>
        <v/>
      </c>
      <c r="B251" t="str">
        <f>IF(Projects!B260&lt;&gt;"",Projects!B260,"")</f>
        <v/>
      </c>
      <c r="C251" t="str">
        <f>IF(AND(Projects!C260="", Projects!B260=""), "", IF(Projects!C260="", "None", Projects!C260))</f>
        <v/>
      </c>
      <c r="D251" t="str">
        <f>IF(AND(Projects!D260="", Projects!B260=""), "", IF(Projects!D260="", "No OpCo", Projects!D260))</f>
        <v/>
      </c>
      <c r="E251" t="str">
        <f>IF(Projects!E260&lt;&gt;"",Projects!E260,"")</f>
        <v/>
      </c>
      <c r="F251" t="str">
        <f>IF(Projects!F260&lt;&gt;"",Projects!F260,"")</f>
        <v/>
      </c>
      <c r="G251" s="45" t="str">
        <f>IF(Projects!G260&lt;&gt;"",Projects!G260,"")</f>
        <v/>
      </c>
      <c r="H251" s="45" t="str">
        <f>IF(Projects!H260&lt;&gt;"",Projects!H260,"")</f>
        <v/>
      </c>
      <c r="I251" s="45" t="str">
        <f>IF(Projects!I260&lt;&gt;"",Projects!I260,"")</f>
        <v/>
      </c>
      <c r="J251" s="45" t="str">
        <f>IF(Projects!J260&lt;&gt;"",Projects!J260,"")</f>
        <v/>
      </c>
      <c r="K251" s="45" t="str">
        <f>IF(Projects!K260&lt;&gt;"",Projects!K260,"")</f>
        <v/>
      </c>
      <c r="L251" t="str">
        <f>IF(AND(Projects!E260&lt;&gt;"", Projects!F260&lt;&gt;""),
INDEX('Duration Table'!$D$7:$H$17,MATCH(Projects!E260,'Duration Table'!$C$7:$C$17,0),MATCH(Projects!F260,'Duration Table'!$D$6:$H$6)),
   ""
)</f>
        <v/>
      </c>
      <c r="M251" s="45" t="str" cm="1">
        <f t="array" ref="M251">_xlfn.IFS(
    G251&lt;&gt;"",G251,
    H251&lt;&gt;"",EDATE(H251,-0.25*L251),
    N251&lt;&gt;"",EDATE(N251,-0.25*L251),
    TRUE,""
)</f>
        <v/>
      </c>
      <c r="N251" s="45" t="str" cm="1">
        <f t="array" ref="N251">_xlfn.IFS(
    H251&lt;&gt;"", H251,
    COUNT(G251,I251)=2, (G251 + (DATEDIF(G251,I251,"d")*0.5)),
    COUNT(G251,J251)=2, (G251 + (DATEDIF(G251,J251,"d")*0.25)),
    COUNT(G251,K251)=2, (G251 + ((DATEDIF(G251,K251,"d")-90)*0.25)),
    COUNT(I251,J251)=2, (I251 -(DATEDIF(I251,J251,"d")*0.5)),
    COUNT(I251,K251)=2, (I251 -((DATEDIF(I251,K251,"d")-90)*0.5)),
    G251&lt;&gt;"", EDATE(G251, + L251*0.25),
    I251&lt;&gt;"", EDATE(I251, - L251*0.25),
    J251&lt;&gt;"", EDATE(J251, - L251*0.75),
    K251&lt;&gt;"", EDATE(K251, -((L251*0.75)+3)),
    TRUE, ""
)</f>
        <v/>
      </c>
      <c r="O251" s="45" t="str" cm="1">
        <f t="array" ref="O251">_xlfn.IFS(
    I251&lt;&gt;"", I251,
    COUNT(H251,J251)=2, (H251 + (DATEDIF(H251,J251,"d")*0.33)),
    COUNT(H251,K251)=2, (H251 + ((DATEDIF(H251,K251,"d")-90)*0.33)),
    COUNT(G251,J251)=2, (G251 +  DATEDIF(G251,J251,"d")*0.5),
    COUNT(G251,K251)=2, (G251 + (DATEDIF(G251,K251,"d")-90)*0.5),
    G251&lt;&gt;"", EDATE(G251, + L251*0.5),
    H251&lt;&gt;"", EDATE(H251, + L251*0.25),
    J251&lt;&gt;"", EDATE(J251, - L251*0.5),
    K251&lt;&gt;"", EDATE(K251, -((L251*0.5)+3)),
    TRUE, ""
)</f>
        <v/>
      </c>
      <c r="P251" s="45" t="str" cm="1">
        <f t="array" ref="P251">_xlfn.IFS(
    J251&lt;&gt;"", J251,
    K251&lt;&gt;"", EDATE(K251, -3),
    G251&lt;&gt;"", EDATE(G251, + L251),
    H251&lt;&gt;"", EDATE(H251, + L251*0.75),
    I251&lt;&gt;"", EDATE(I251, H L251*0.5),
    TRUE, ""
)</f>
        <v/>
      </c>
      <c r="Q251" s="45" t="str" cm="1">
        <f t="array" ref="Q251">_xlfn.IFS(
    K251&lt;&gt;"",K251,
    J251&lt;&gt;"",EDATE(J251,3),
    P251&lt;&gt;"",EDATE(P251,3),
    TRUE,""
)</f>
        <v/>
      </c>
    </row>
    <row r="252" spans="1:17" x14ac:dyDescent="0.3">
      <c r="A252" t="str">
        <f>IF(AND(Projects!A261="", Projects!B261=""), "", IF(Projects!A261="", "Unassigned", Projects!A261))</f>
        <v/>
      </c>
      <c r="B252" t="str">
        <f>IF(Projects!B261&lt;&gt;"",Projects!B261,"")</f>
        <v/>
      </c>
      <c r="C252" t="str">
        <f>IF(AND(Projects!C261="", Projects!B261=""), "", IF(Projects!C261="", "None", Projects!C261))</f>
        <v/>
      </c>
      <c r="D252" t="str">
        <f>IF(AND(Projects!D261="", Projects!B261=""), "", IF(Projects!D261="", "No OpCo", Projects!D261))</f>
        <v/>
      </c>
      <c r="E252" t="str">
        <f>IF(Projects!E261&lt;&gt;"",Projects!E261,"")</f>
        <v/>
      </c>
      <c r="F252" t="str">
        <f>IF(Projects!F261&lt;&gt;"",Projects!F261,"")</f>
        <v/>
      </c>
      <c r="G252" s="45" t="str">
        <f>IF(Projects!G261&lt;&gt;"",Projects!G261,"")</f>
        <v/>
      </c>
      <c r="H252" s="45" t="str">
        <f>IF(Projects!H261&lt;&gt;"",Projects!H261,"")</f>
        <v/>
      </c>
      <c r="I252" s="45" t="str">
        <f>IF(Projects!I261&lt;&gt;"",Projects!I261,"")</f>
        <v/>
      </c>
      <c r="J252" s="45" t="str">
        <f>IF(Projects!J261&lt;&gt;"",Projects!J261,"")</f>
        <v/>
      </c>
      <c r="K252" s="45" t="str">
        <f>IF(Projects!K261&lt;&gt;"",Projects!K261,"")</f>
        <v/>
      </c>
      <c r="L252" t="str">
        <f>IF(AND(Projects!E261&lt;&gt;"", Projects!F261&lt;&gt;""),
INDEX('Duration Table'!$D$7:$H$17,MATCH(Projects!E261,'Duration Table'!$C$7:$C$17,0),MATCH(Projects!F261,'Duration Table'!$D$6:$H$6)),
   ""
)</f>
        <v/>
      </c>
      <c r="M252" s="45" t="str" cm="1">
        <f t="array" ref="M252">_xlfn.IFS(
    G252&lt;&gt;"",G252,
    H252&lt;&gt;"",EDATE(H252,-0.25*L252),
    N252&lt;&gt;"",EDATE(N252,-0.25*L252),
    TRUE,""
)</f>
        <v/>
      </c>
      <c r="N252" s="45" t="str" cm="1">
        <f t="array" ref="N252">_xlfn.IFS(
    H252&lt;&gt;"", H252,
    COUNT(G252,I252)=2, (G252 + (DATEDIF(G252,I252,"d")*0.5)),
    COUNT(G252,J252)=2, (G252 + (DATEDIF(G252,J252,"d")*0.25)),
    COUNT(G252,K252)=2, (G252 + ((DATEDIF(G252,K252,"d")-90)*0.25)),
    COUNT(I252,J252)=2, (I252 -(DATEDIF(I252,J252,"d")*0.5)),
    COUNT(I252,K252)=2, (I252 -((DATEDIF(I252,K252,"d")-90)*0.5)),
    G252&lt;&gt;"", EDATE(G252, + L252*0.25),
    I252&lt;&gt;"", EDATE(I252, - L252*0.25),
    J252&lt;&gt;"", EDATE(J252, - L252*0.75),
    K252&lt;&gt;"", EDATE(K252, -((L252*0.75)+3)),
    TRUE, ""
)</f>
        <v/>
      </c>
      <c r="O252" s="45" t="str" cm="1">
        <f t="array" ref="O252">_xlfn.IFS(
    I252&lt;&gt;"", I252,
    COUNT(H252,J252)=2, (H252 + (DATEDIF(H252,J252,"d")*0.33)),
    COUNT(H252,K252)=2, (H252 + ((DATEDIF(H252,K252,"d")-90)*0.33)),
    COUNT(G252,J252)=2, (G252 +  DATEDIF(G252,J252,"d")*0.5),
    COUNT(G252,K252)=2, (G252 + (DATEDIF(G252,K252,"d")-90)*0.5),
    G252&lt;&gt;"", EDATE(G252, + L252*0.5),
    H252&lt;&gt;"", EDATE(H252, + L252*0.25),
    J252&lt;&gt;"", EDATE(J252, - L252*0.5),
    K252&lt;&gt;"", EDATE(K252, -((L252*0.5)+3)),
    TRUE, ""
)</f>
        <v/>
      </c>
      <c r="P252" s="45" t="str" cm="1">
        <f t="array" ref="P252">_xlfn.IFS(
    J252&lt;&gt;"", J252,
    K252&lt;&gt;"", EDATE(K252, -3),
    G252&lt;&gt;"", EDATE(G252, + L252),
    H252&lt;&gt;"", EDATE(H252, + L252*0.75),
    I252&lt;&gt;"", EDATE(I252, H L252*0.5),
    TRUE, ""
)</f>
        <v/>
      </c>
      <c r="Q252" s="45" t="str" cm="1">
        <f t="array" ref="Q252">_xlfn.IFS(
    K252&lt;&gt;"",K252,
    J252&lt;&gt;"",EDATE(J252,3),
    P252&lt;&gt;"",EDATE(P252,3),
    TRUE,""
)</f>
        <v/>
      </c>
    </row>
    <row r="253" spans="1:17" x14ac:dyDescent="0.3">
      <c r="A253" t="str">
        <f>IF(AND(Projects!A262="", Projects!B262=""), "", IF(Projects!A262="", "Unassigned", Projects!A262))</f>
        <v/>
      </c>
      <c r="B253" t="str">
        <f>IF(Projects!B262&lt;&gt;"",Projects!B262,"")</f>
        <v/>
      </c>
      <c r="C253" t="str">
        <f>IF(AND(Projects!C262="", Projects!B262=""), "", IF(Projects!C262="", "None", Projects!C262))</f>
        <v/>
      </c>
      <c r="D253" t="str">
        <f>IF(AND(Projects!D262="", Projects!B262=""), "", IF(Projects!D262="", "No OpCo", Projects!D262))</f>
        <v/>
      </c>
      <c r="E253" t="str">
        <f>IF(Projects!E262&lt;&gt;"",Projects!E262,"")</f>
        <v/>
      </c>
      <c r="F253" t="str">
        <f>IF(Projects!F262&lt;&gt;"",Projects!F262,"")</f>
        <v/>
      </c>
      <c r="G253" s="45" t="str">
        <f>IF(Projects!G262&lt;&gt;"",Projects!G262,"")</f>
        <v/>
      </c>
      <c r="H253" s="45" t="str">
        <f>IF(Projects!H262&lt;&gt;"",Projects!H262,"")</f>
        <v/>
      </c>
      <c r="I253" s="45" t="str">
        <f>IF(Projects!I262&lt;&gt;"",Projects!I262,"")</f>
        <v/>
      </c>
      <c r="J253" s="45" t="str">
        <f>IF(Projects!J262&lt;&gt;"",Projects!J262,"")</f>
        <v/>
      </c>
      <c r="K253" s="45" t="str">
        <f>IF(Projects!K262&lt;&gt;"",Projects!K262,"")</f>
        <v/>
      </c>
      <c r="L253" t="str">
        <f>IF(AND(Projects!E262&lt;&gt;"", Projects!F262&lt;&gt;""),
INDEX('Duration Table'!$D$7:$H$17,MATCH(Projects!E262,'Duration Table'!$C$7:$C$17,0),MATCH(Projects!F262,'Duration Table'!$D$6:$H$6)),
   ""
)</f>
        <v/>
      </c>
      <c r="M253" s="45" t="str" cm="1">
        <f t="array" ref="M253">_xlfn.IFS(
    G253&lt;&gt;"",G253,
    H253&lt;&gt;"",EDATE(H253,-0.25*L253),
    N253&lt;&gt;"",EDATE(N253,-0.25*L253),
    TRUE,""
)</f>
        <v/>
      </c>
      <c r="N253" s="45" t="str" cm="1">
        <f t="array" ref="N253">_xlfn.IFS(
    H253&lt;&gt;"", H253,
    COUNT(G253,I253)=2, (G253 + (DATEDIF(G253,I253,"d")*0.5)),
    COUNT(G253,J253)=2, (G253 + (DATEDIF(G253,J253,"d")*0.25)),
    COUNT(G253,K253)=2, (G253 + ((DATEDIF(G253,K253,"d")-90)*0.25)),
    COUNT(I253,J253)=2, (I253 -(DATEDIF(I253,J253,"d")*0.5)),
    COUNT(I253,K253)=2, (I253 -((DATEDIF(I253,K253,"d")-90)*0.5)),
    G253&lt;&gt;"", EDATE(G253, + L253*0.25),
    I253&lt;&gt;"", EDATE(I253, - L253*0.25),
    J253&lt;&gt;"", EDATE(J253, - L253*0.75),
    K253&lt;&gt;"", EDATE(K253, -((L253*0.75)+3)),
    TRUE, ""
)</f>
        <v/>
      </c>
      <c r="O253" s="45" t="str" cm="1">
        <f t="array" ref="O253">_xlfn.IFS(
    I253&lt;&gt;"", I253,
    COUNT(H253,J253)=2, (H253 + (DATEDIF(H253,J253,"d")*0.33)),
    COUNT(H253,K253)=2, (H253 + ((DATEDIF(H253,K253,"d")-90)*0.33)),
    COUNT(G253,J253)=2, (G253 +  DATEDIF(G253,J253,"d")*0.5),
    COUNT(G253,K253)=2, (G253 + (DATEDIF(G253,K253,"d")-90)*0.5),
    G253&lt;&gt;"", EDATE(G253, + L253*0.5),
    H253&lt;&gt;"", EDATE(H253, + L253*0.25),
    J253&lt;&gt;"", EDATE(J253, - L253*0.5),
    K253&lt;&gt;"", EDATE(K253, -((L253*0.5)+3)),
    TRUE, ""
)</f>
        <v/>
      </c>
      <c r="P253" s="45" t="str" cm="1">
        <f t="array" ref="P253">_xlfn.IFS(
    J253&lt;&gt;"", J253,
    K253&lt;&gt;"", EDATE(K253, -3),
    G253&lt;&gt;"", EDATE(G253, + L253),
    H253&lt;&gt;"", EDATE(H253, + L253*0.75),
    I253&lt;&gt;"", EDATE(I253, H L253*0.5),
    TRUE, ""
)</f>
        <v/>
      </c>
      <c r="Q253" s="45" t="str" cm="1">
        <f t="array" ref="Q253">_xlfn.IFS(
    K253&lt;&gt;"",K253,
    J253&lt;&gt;"",EDATE(J253,3),
    P253&lt;&gt;"",EDATE(P253,3),
    TRUE,""
)</f>
        <v/>
      </c>
    </row>
    <row r="254" spans="1:17" x14ac:dyDescent="0.3">
      <c r="A254" t="str">
        <f>IF(AND(Projects!A263="", Projects!B263=""), "", IF(Projects!A263="", "Unassigned", Projects!A263))</f>
        <v/>
      </c>
      <c r="B254" t="str">
        <f>IF(Projects!B263&lt;&gt;"",Projects!B263,"")</f>
        <v/>
      </c>
      <c r="C254" t="str">
        <f>IF(AND(Projects!C263="", Projects!B263=""), "", IF(Projects!C263="", "None", Projects!C263))</f>
        <v/>
      </c>
      <c r="D254" t="str">
        <f>IF(AND(Projects!D263="", Projects!B263=""), "", IF(Projects!D263="", "No OpCo", Projects!D263))</f>
        <v/>
      </c>
      <c r="E254" t="str">
        <f>IF(Projects!E263&lt;&gt;"",Projects!E263,"")</f>
        <v/>
      </c>
      <c r="F254" t="str">
        <f>IF(Projects!F263&lt;&gt;"",Projects!F263,"")</f>
        <v/>
      </c>
      <c r="G254" s="45" t="str">
        <f>IF(Projects!G263&lt;&gt;"",Projects!G263,"")</f>
        <v/>
      </c>
      <c r="H254" s="45" t="str">
        <f>IF(Projects!H263&lt;&gt;"",Projects!H263,"")</f>
        <v/>
      </c>
      <c r="I254" s="45" t="str">
        <f>IF(Projects!I263&lt;&gt;"",Projects!I263,"")</f>
        <v/>
      </c>
      <c r="J254" s="45" t="str">
        <f>IF(Projects!J263&lt;&gt;"",Projects!J263,"")</f>
        <v/>
      </c>
      <c r="K254" s="45" t="str">
        <f>IF(Projects!K263&lt;&gt;"",Projects!K263,"")</f>
        <v/>
      </c>
      <c r="L254" t="str">
        <f>IF(AND(Projects!E263&lt;&gt;"", Projects!F263&lt;&gt;""),
INDEX('Duration Table'!$D$7:$H$17,MATCH(Projects!E263,'Duration Table'!$C$7:$C$17,0),MATCH(Projects!F263,'Duration Table'!$D$6:$H$6)),
   ""
)</f>
        <v/>
      </c>
      <c r="M254" s="45" t="str" cm="1">
        <f t="array" ref="M254">_xlfn.IFS(
    G254&lt;&gt;"",G254,
    H254&lt;&gt;"",EDATE(H254,-0.25*L254),
    N254&lt;&gt;"",EDATE(N254,-0.25*L254),
    TRUE,""
)</f>
        <v/>
      </c>
      <c r="N254" s="45" t="str" cm="1">
        <f t="array" ref="N254">_xlfn.IFS(
    H254&lt;&gt;"", H254,
    COUNT(G254,I254)=2, (G254 + (DATEDIF(G254,I254,"d")*0.5)),
    COUNT(G254,J254)=2, (G254 + (DATEDIF(G254,J254,"d")*0.25)),
    COUNT(G254,K254)=2, (G254 + ((DATEDIF(G254,K254,"d")-90)*0.25)),
    COUNT(I254,J254)=2, (I254 -(DATEDIF(I254,J254,"d")*0.5)),
    COUNT(I254,K254)=2, (I254 -((DATEDIF(I254,K254,"d")-90)*0.5)),
    G254&lt;&gt;"", EDATE(G254, + L254*0.25),
    I254&lt;&gt;"", EDATE(I254, - L254*0.25),
    J254&lt;&gt;"", EDATE(J254, - L254*0.75),
    K254&lt;&gt;"", EDATE(K254, -((L254*0.75)+3)),
    TRUE, ""
)</f>
        <v/>
      </c>
      <c r="O254" s="45" t="str" cm="1">
        <f t="array" ref="O254">_xlfn.IFS(
    I254&lt;&gt;"", I254,
    COUNT(H254,J254)=2, (H254 + (DATEDIF(H254,J254,"d")*0.33)),
    COUNT(H254,K254)=2, (H254 + ((DATEDIF(H254,K254,"d")-90)*0.33)),
    COUNT(G254,J254)=2, (G254 +  DATEDIF(G254,J254,"d")*0.5),
    COUNT(G254,K254)=2, (G254 + (DATEDIF(G254,K254,"d")-90)*0.5),
    G254&lt;&gt;"", EDATE(G254, + L254*0.5),
    H254&lt;&gt;"", EDATE(H254, + L254*0.25),
    J254&lt;&gt;"", EDATE(J254, - L254*0.5),
    K254&lt;&gt;"", EDATE(K254, -((L254*0.5)+3)),
    TRUE, ""
)</f>
        <v/>
      </c>
      <c r="P254" s="45" t="str" cm="1">
        <f t="array" ref="P254">_xlfn.IFS(
    J254&lt;&gt;"", J254,
    K254&lt;&gt;"", EDATE(K254, -3),
    G254&lt;&gt;"", EDATE(G254, + L254),
    H254&lt;&gt;"", EDATE(H254, + L254*0.75),
    I254&lt;&gt;"", EDATE(I254, H L254*0.5),
    TRUE, ""
)</f>
        <v/>
      </c>
      <c r="Q254" s="45" t="str" cm="1">
        <f t="array" ref="Q254">_xlfn.IFS(
    K254&lt;&gt;"",K254,
    J254&lt;&gt;"",EDATE(J254,3),
    P254&lt;&gt;"",EDATE(P254,3),
    TRUE,""
)</f>
        <v/>
      </c>
    </row>
    <row r="255" spans="1:17" x14ac:dyDescent="0.3">
      <c r="A255" t="str">
        <f>IF(AND(Projects!A264="", Projects!B264=""), "", IF(Projects!A264="", "Unassigned", Projects!A264))</f>
        <v/>
      </c>
      <c r="B255" t="str">
        <f>IF(Projects!B264&lt;&gt;"",Projects!B264,"")</f>
        <v/>
      </c>
      <c r="C255" t="str">
        <f>IF(AND(Projects!C264="", Projects!B264=""), "", IF(Projects!C264="", "None", Projects!C264))</f>
        <v/>
      </c>
      <c r="D255" t="str">
        <f>IF(AND(Projects!D264="", Projects!B264=""), "", IF(Projects!D264="", "No OpCo", Projects!D264))</f>
        <v/>
      </c>
      <c r="E255" t="str">
        <f>IF(Projects!E264&lt;&gt;"",Projects!E264,"")</f>
        <v/>
      </c>
      <c r="F255" t="str">
        <f>IF(Projects!F264&lt;&gt;"",Projects!F264,"")</f>
        <v/>
      </c>
      <c r="G255" s="45" t="str">
        <f>IF(Projects!G264&lt;&gt;"",Projects!G264,"")</f>
        <v/>
      </c>
      <c r="H255" s="45" t="str">
        <f>IF(Projects!H264&lt;&gt;"",Projects!H264,"")</f>
        <v/>
      </c>
      <c r="I255" s="45" t="str">
        <f>IF(Projects!I264&lt;&gt;"",Projects!I264,"")</f>
        <v/>
      </c>
      <c r="J255" s="45" t="str">
        <f>IF(Projects!J264&lt;&gt;"",Projects!J264,"")</f>
        <v/>
      </c>
      <c r="K255" s="45" t="str">
        <f>IF(Projects!K264&lt;&gt;"",Projects!K264,"")</f>
        <v/>
      </c>
      <c r="L255" t="str">
        <f>IF(AND(Projects!E264&lt;&gt;"", Projects!F264&lt;&gt;""),
INDEX('Duration Table'!$D$7:$H$17,MATCH(Projects!E264,'Duration Table'!$C$7:$C$17,0),MATCH(Projects!F264,'Duration Table'!$D$6:$H$6)),
   ""
)</f>
        <v/>
      </c>
      <c r="M255" s="45" t="str" cm="1">
        <f t="array" ref="M255">_xlfn.IFS(
    G255&lt;&gt;"",G255,
    H255&lt;&gt;"",EDATE(H255,-0.25*L255),
    N255&lt;&gt;"",EDATE(N255,-0.25*L255),
    TRUE,""
)</f>
        <v/>
      </c>
      <c r="N255" s="45" t="str" cm="1">
        <f t="array" ref="N255">_xlfn.IFS(
    H255&lt;&gt;"", H255,
    COUNT(G255,I255)=2, (G255 + (DATEDIF(G255,I255,"d")*0.5)),
    COUNT(G255,J255)=2, (G255 + (DATEDIF(G255,J255,"d")*0.25)),
    COUNT(G255,K255)=2, (G255 + ((DATEDIF(G255,K255,"d")-90)*0.25)),
    COUNT(I255,J255)=2, (I255 -(DATEDIF(I255,J255,"d")*0.5)),
    COUNT(I255,K255)=2, (I255 -((DATEDIF(I255,K255,"d")-90)*0.5)),
    G255&lt;&gt;"", EDATE(G255, + L255*0.25),
    I255&lt;&gt;"", EDATE(I255, - L255*0.25),
    J255&lt;&gt;"", EDATE(J255, - L255*0.75),
    K255&lt;&gt;"", EDATE(K255, -((L255*0.75)+3)),
    TRUE, ""
)</f>
        <v/>
      </c>
      <c r="O255" s="45" t="str" cm="1">
        <f t="array" ref="O255">_xlfn.IFS(
    I255&lt;&gt;"", I255,
    COUNT(H255,J255)=2, (H255 + (DATEDIF(H255,J255,"d")*0.33)),
    COUNT(H255,K255)=2, (H255 + ((DATEDIF(H255,K255,"d")-90)*0.33)),
    COUNT(G255,J255)=2, (G255 +  DATEDIF(G255,J255,"d")*0.5),
    COUNT(G255,K255)=2, (G255 + (DATEDIF(G255,K255,"d")-90)*0.5),
    G255&lt;&gt;"", EDATE(G255, + L255*0.5),
    H255&lt;&gt;"", EDATE(H255, + L255*0.25),
    J255&lt;&gt;"", EDATE(J255, - L255*0.5),
    K255&lt;&gt;"", EDATE(K255, -((L255*0.5)+3)),
    TRUE, ""
)</f>
        <v/>
      </c>
      <c r="P255" s="45" t="str" cm="1">
        <f t="array" ref="P255">_xlfn.IFS(
    J255&lt;&gt;"", J255,
    K255&lt;&gt;"", EDATE(K255, -3),
    G255&lt;&gt;"", EDATE(G255, + L255),
    H255&lt;&gt;"", EDATE(H255, + L255*0.75),
    I255&lt;&gt;"", EDATE(I255, H L255*0.5),
    TRUE, ""
)</f>
        <v/>
      </c>
      <c r="Q255" s="45" t="str" cm="1">
        <f t="array" ref="Q255">_xlfn.IFS(
    K255&lt;&gt;"",K255,
    J255&lt;&gt;"",EDATE(J255,3),
    P255&lt;&gt;"",EDATE(P255,3),
    TRUE,""
)</f>
        <v/>
      </c>
    </row>
    <row r="256" spans="1:17" x14ac:dyDescent="0.3">
      <c r="A256" t="str">
        <f>IF(AND(Projects!A265="", Projects!B265=""), "", IF(Projects!A265="", "Unassigned", Projects!A265))</f>
        <v/>
      </c>
      <c r="B256" t="str">
        <f>IF(Projects!B265&lt;&gt;"",Projects!B265,"")</f>
        <v/>
      </c>
      <c r="C256" t="str">
        <f>IF(AND(Projects!C265="", Projects!B265=""), "", IF(Projects!C265="", "None", Projects!C265))</f>
        <v/>
      </c>
      <c r="D256" t="str">
        <f>IF(AND(Projects!D265="", Projects!B265=""), "", IF(Projects!D265="", "No OpCo", Projects!D265))</f>
        <v/>
      </c>
      <c r="E256" t="str">
        <f>IF(Projects!E265&lt;&gt;"",Projects!E265,"")</f>
        <v/>
      </c>
      <c r="F256" t="str">
        <f>IF(Projects!F265&lt;&gt;"",Projects!F265,"")</f>
        <v/>
      </c>
      <c r="G256" s="45" t="str">
        <f>IF(Projects!G265&lt;&gt;"",Projects!G265,"")</f>
        <v/>
      </c>
      <c r="H256" s="45" t="str">
        <f>IF(Projects!H265&lt;&gt;"",Projects!H265,"")</f>
        <v/>
      </c>
      <c r="I256" s="45" t="str">
        <f>IF(Projects!I265&lt;&gt;"",Projects!I265,"")</f>
        <v/>
      </c>
      <c r="J256" s="45" t="str">
        <f>IF(Projects!J265&lt;&gt;"",Projects!J265,"")</f>
        <v/>
      </c>
      <c r="K256" s="45" t="str">
        <f>IF(Projects!K265&lt;&gt;"",Projects!K265,"")</f>
        <v/>
      </c>
      <c r="L256" t="str">
        <f>IF(AND(Projects!E265&lt;&gt;"", Projects!F265&lt;&gt;""),
INDEX('Duration Table'!$D$7:$H$17,MATCH(Projects!E265,'Duration Table'!$C$7:$C$17,0),MATCH(Projects!F265,'Duration Table'!$D$6:$H$6)),
   ""
)</f>
        <v/>
      </c>
      <c r="M256" s="45" t="str" cm="1">
        <f t="array" ref="M256">_xlfn.IFS(
    G256&lt;&gt;"",G256,
    H256&lt;&gt;"",EDATE(H256,-0.25*L256),
    N256&lt;&gt;"",EDATE(N256,-0.25*L256),
    TRUE,""
)</f>
        <v/>
      </c>
      <c r="N256" s="45" t="str" cm="1">
        <f t="array" ref="N256">_xlfn.IFS(
    H256&lt;&gt;"", H256,
    COUNT(G256,I256)=2, (G256 + (DATEDIF(G256,I256,"d")*0.5)),
    COUNT(G256,J256)=2, (G256 + (DATEDIF(G256,J256,"d")*0.25)),
    COUNT(G256,K256)=2, (G256 + ((DATEDIF(G256,K256,"d")-90)*0.25)),
    COUNT(I256,J256)=2, (I256 -(DATEDIF(I256,J256,"d")*0.5)),
    COUNT(I256,K256)=2, (I256 -((DATEDIF(I256,K256,"d")-90)*0.5)),
    G256&lt;&gt;"", EDATE(G256, + L256*0.25),
    I256&lt;&gt;"", EDATE(I256, - L256*0.25),
    J256&lt;&gt;"", EDATE(J256, - L256*0.75),
    K256&lt;&gt;"", EDATE(K256, -((L256*0.75)+3)),
    TRUE, ""
)</f>
        <v/>
      </c>
      <c r="O256" s="45" t="str" cm="1">
        <f t="array" ref="O256">_xlfn.IFS(
    I256&lt;&gt;"", I256,
    COUNT(H256,J256)=2, (H256 + (DATEDIF(H256,J256,"d")*0.33)),
    COUNT(H256,K256)=2, (H256 + ((DATEDIF(H256,K256,"d")-90)*0.33)),
    COUNT(G256,J256)=2, (G256 +  DATEDIF(G256,J256,"d")*0.5),
    COUNT(G256,K256)=2, (G256 + (DATEDIF(G256,K256,"d")-90)*0.5),
    G256&lt;&gt;"", EDATE(G256, + L256*0.5),
    H256&lt;&gt;"", EDATE(H256, + L256*0.25),
    J256&lt;&gt;"", EDATE(J256, - L256*0.5),
    K256&lt;&gt;"", EDATE(K256, -((L256*0.5)+3)),
    TRUE, ""
)</f>
        <v/>
      </c>
      <c r="P256" s="45" t="str" cm="1">
        <f t="array" ref="P256">_xlfn.IFS(
    J256&lt;&gt;"", J256,
    K256&lt;&gt;"", EDATE(K256, -3),
    G256&lt;&gt;"", EDATE(G256, + L256),
    H256&lt;&gt;"", EDATE(H256, + L256*0.75),
    I256&lt;&gt;"", EDATE(I256, H L256*0.5),
    TRUE, ""
)</f>
        <v/>
      </c>
      <c r="Q256" s="45" t="str" cm="1">
        <f t="array" ref="Q256">_xlfn.IFS(
    K256&lt;&gt;"",K256,
    J256&lt;&gt;"",EDATE(J256,3),
    P256&lt;&gt;"",EDATE(P256,3),
    TRUE,""
)</f>
        <v/>
      </c>
    </row>
    <row r="257" spans="1:17" x14ac:dyDescent="0.3">
      <c r="A257" t="str">
        <f>IF(AND(Projects!A266="", Projects!B266=""), "", IF(Projects!A266="", "Unassigned", Projects!A266))</f>
        <v/>
      </c>
      <c r="B257" t="str">
        <f>IF(Projects!B266&lt;&gt;"",Projects!B266,"")</f>
        <v/>
      </c>
      <c r="C257" t="str">
        <f>IF(AND(Projects!C266="", Projects!B266=""), "", IF(Projects!C266="", "None", Projects!C266))</f>
        <v/>
      </c>
      <c r="D257" t="str">
        <f>IF(AND(Projects!D266="", Projects!B266=""), "", IF(Projects!D266="", "No OpCo", Projects!D266))</f>
        <v/>
      </c>
      <c r="E257" t="str">
        <f>IF(Projects!E266&lt;&gt;"",Projects!E266,"")</f>
        <v/>
      </c>
      <c r="F257" t="str">
        <f>IF(Projects!F266&lt;&gt;"",Projects!F266,"")</f>
        <v/>
      </c>
      <c r="G257" s="45" t="str">
        <f>IF(Projects!G266&lt;&gt;"",Projects!G266,"")</f>
        <v/>
      </c>
      <c r="H257" s="45" t="str">
        <f>IF(Projects!H266&lt;&gt;"",Projects!H266,"")</f>
        <v/>
      </c>
      <c r="I257" s="45" t="str">
        <f>IF(Projects!I266&lt;&gt;"",Projects!I266,"")</f>
        <v/>
      </c>
      <c r="J257" s="45" t="str">
        <f>IF(Projects!J266&lt;&gt;"",Projects!J266,"")</f>
        <v/>
      </c>
      <c r="K257" s="45" t="str">
        <f>IF(Projects!K266&lt;&gt;"",Projects!K266,"")</f>
        <v/>
      </c>
      <c r="L257" t="str">
        <f>IF(AND(Projects!E266&lt;&gt;"", Projects!F266&lt;&gt;""),
INDEX('Duration Table'!$D$7:$H$17,MATCH(Projects!E266,'Duration Table'!$C$7:$C$17,0),MATCH(Projects!F266,'Duration Table'!$D$6:$H$6)),
   ""
)</f>
        <v/>
      </c>
      <c r="M257" s="45" t="str" cm="1">
        <f t="array" ref="M257">_xlfn.IFS(
    G257&lt;&gt;"",G257,
    H257&lt;&gt;"",EDATE(H257,-0.25*L257),
    N257&lt;&gt;"",EDATE(N257,-0.25*L257),
    TRUE,""
)</f>
        <v/>
      </c>
      <c r="N257" s="45" t="str" cm="1">
        <f t="array" ref="N257">_xlfn.IFS(
    H257&lt;&gt;"", H257,
    COUNT(G257,I257)=2, (G257 + (DATEDIF(G257,I257,"d")*0.5)),
    COUNT(G257,J257)=2, (G257 + (DATEDIF(G257,J257,"d")*0.25)),
    COUNT(G257,K257)=2, (G257 + ((DATEDIF(G257,K257,"d")-90)*0.25)),
    COUNT(I257,J257)=2, (I257 -(DATEDIF(I257,J257,"d")*0.5)),
    COUNT(I257,K257)=2, (I257 -((DATEDIF(I257,K257,"d")-90)*0.5)),
    G257&lt;&gt;"", EDATE(G257, + L257*0.25),
    I257&lt;&gt;"", EDATE(I257, - L257*0.25),
    J257&lt;&gt;"", EDATE(J257, - L257*0.75),
    K257&lt;&gt;"", EDATE(K257, -((L257*0.75)+3)),
    TRUE, ""
)</f>
        <v/>
      </c>
      <c r="O257" s="45" t="str" cm="1">
        <f t="array" ref="O257">_xlfn.IFS(
    I257&lt;&gt;"", I257,
    COUNT(H257,J257)=2, (H257 + (DATEDIF(H257,J257,"d")*0.33)),
    COUNT(H257,K257)=2, (H257 + ((DATEDIF(H257,K257,"d")-90)*0.33)),
    COUNT(G257,J257)=2, (G257 +  DATEDIF(G257,J257,"d")*0.5),
    COUNT(G257,K257)=2, (G257 + (DATEDIF(G257,K257,"d")-90)*0.5),
    G257&lt;&gt;"", EDATE(G257, + L257*0.5),
    H257&lt;&gt;"", EDATE(H257, + L257*0.25),
    J257&lt;&gt;"", EDATE(J257, - L257*0.5),
    K257&lt;&gt;"", EDATE(K257, -((L257*0.5)+3)),
    TRUE, ""
)</f>
        <v/>
      </c>
      <c r="P257" s="45" t="str" cm="1">
        <f t="array" ref="P257">_xlfn.IFS(
    J257&lt;&gt;"", J257,
    K257&lt;&gt;"", EDATE(K257, -3),
    G257&lt;&gt;"", EDATE(G257, + L257),
    H257&lt;&gt;"", EDATE(H257, + L257*0.75),
    I257&lt;&gt;"", EDATE(I257, H L257*0.5),
    TRUE, ""
)</f>
        <v/>
      </c>
      <c r="Q257" s="45" t="str" cm="1">
        <f t="array" ref="Q257">_xlfn.IFS(
    K257&lt;&gt;"",K257,
    J257&lt;&gt;"",EDATE(J257,3),
    P257&lt;&gt;"",EDATE(P257,3),
    TRUE,""
)</f>
        <v/>
      </c>
    </row>
    <row r="258" spans="1:17" x14ac:dyDescent="0.3">
      <c r="A258" t="str">
        <f>IF(AND(Projects!A267="", Projects!B267=""), "", IF(Projects!A267="", "Unassigned", Projects!A267))</f>
        <v/>
      </c>
      <c r="B258" t="str">
        <f>IF(Projects!B267&lt;&gt;"",Projects!B267,"")</f>
        <v/>
      </c>
      <c r="C258" t="str">
        <f>IF(AND(Projects!C267="", Projects!B267=""), "", IF(Projects!C267="", "None", Projects!C267))</f>
        <v/>
      </c>
      <c r="D258" t="str">
        <f>IF(AND(Projects!D267="", Projects!B267=""), "", IF(Projects!D267="", "No OpCo", Projects!D267))</f>
        <v/>
      </c>
      <c r="E258" t="str">
        <f>IF(Projects!E267&lt;&gt;"",Projects!E267,"")</f>
        <v/>
      </c>
      <c r="F258" t="str">
        <f>IF(Projects!F267&lt;&gt;"",Projects!F267,"")</f>
        <v/>
      </c>
      <c r="G258" s="45" t="str">
        <f>IF(Projects!G267&lt;&gt;"",Projects!G267,"")</f>
        <v/>
      </c>
      <c r="H258" s="45" t="str">
        <f>IF(Projects!H267&lt;&gt;"",Projects!H267,"")</f>
        <v/>
      </c>
      <c r="I258" s="45" t="str">
        <f>IF(Projects!I267&lt;&gt;"",Projects!I267,"")</f>
        <v/>
      </c>
      <c r="J258" s="45" t="str">
        <f>IF(Projects!J267&lt;&gt;"",Projects!J267,"")</f>
        <v/>
      </c>
      <c r="K258" s="45" t="str">
        <f>IF(Projects!K267&lt;&gt;"",Projects!K267,"")</f>
        <v/>
      </c>
      <c r="L258" t="str">
        <f>IF(AND(Projects!E267&lt;&gt;"", Projects!F267&lt;&gt;""),
INDEX('Duration Table'!$D$7:$H$17,MATCH(Projects!E267,'Duration Table'!$C$7:$C$17,0),MATCH(Projects!F267,'Duration Table'!$D$6:$H$6)),
   ""
)</f>
        <v/>
      </c>
      <c r="M258" s="45" t="str" cm="1">
        <f t="array" ref="M258">_xlfn.IFS(
    G258&lt;&gt;"",G258,
    H258&lt;&gt;"",EDATE(H258,-0.25*L258),
    N258&lt;&gt;"",EDATE(N258,-0.25*L258),
    TRUE,""
)</f>
        <v/>
      </c>
      <c r="N258" s="45" t="str" cm="1">
        <f t="array" ref="N258">_xlfn.IFS(
    H258&lt;&gt;"", H258,
    COUNT(G258,I258)=2, (G258 + (DATEDIF(G258,I258,"d")*0.5)),
    COUNT(G258,J258)=2, (G258 + (DATEDIF(G258,J258,"d")*0.25)),
    COUNT(G258,K258)=2, (G258 + ((DATEDIF(G258,K258,"d")-90)*0.25)),
    COUNT(I258,J258)=2, (I258 -(DATEDIF(I258,J258,"d")*0.5)),
    COUNT(I258,K258)=2, (I258 -((DATEDIF(I258,K258,"d")-90)*0.5)),
    G258&lt;&gt;"", EDATE(G258, + L258*0.25),
    I258&lt;&gt;"", EDATE(I258, - L258*0.25),
    J258&lt;&gt;"", EDATE(J258, - L258*0.75),
    K258&lt;&gt;"", EDATE(K258, -((L258*0.75)+3)),
    TRUE, ""
)</f>
        <v/>
      </c>
      <c r="O258" s="45" t="str" cm="1">
        <f t="array" ref="O258">_xlfn.IFS(
    I258&lt;&gt;"", I258,
    COUNT(H258,J258)=2, (H258 + (DATEDIF(H258,J258,"d")*0.33)),
    COUNT(H258,K258)=2, (H258 + ((DATEDIF(H258,K258,"d")-90)*0.33)),
    COUNT(G258,J258)=2, (G258 +  DATEDIF(G258,J258,"d")*0.5),
    COUNT(G258,K258)=2, (G258 + (DATEDIF(G258,K258,"d")-90)*0.5),
    G258&lt;&gt;"", EDATE(G258, + L258*0.5),
    H258&lt;&gt;"", EDATE(H258, + L258*0.25),
    J258&lt;&gt;"", EDATE(J258, - L258*0.5),
    K258&lt;&gt;"", EDATE(K258, -((L258*0.5)+3)),
    TRUE, ""
)</f>
        <v/>
      </c>
      <c r="P258" s="45" t="str" cm="1">
        <f t="array" ref="P258">_xlfn.IFS(
    J258&lt;&gt;"", J258,
    K258&lt;&gt;"", EDATE(K258, -3),
    G258&lt;&gt;"", EDATE(G258, + L258),
    H258&lt;&gt;"", EDATE(H258, + L258*0.75),
    I258&lt;&gt;"", EDATE(I258, H L258*0.5),
    TRUE, ""
)</f>
        <v/>
      </c>
      <c r="Q258" s="45" t="str" cm="1">
        <f t="array" ref="Q258">_xlfn.IFS(
    K258&lt;&gt;"",K258,
    J258&lt;&gt;"",EDATE(J258,3),
    P258&lt;&gt;"",EDATE(P258,3),
    TRUE,""
)</f>
        <v/>
      </c>
    </row>
    <row r="259" spans="1:17" x14ac:dyDescent="0.3">
      <c r="A259" t="str">
        <f>IF(AND(Projects!A268="", Projects!B268=""), "", IF(Projects!A268="", "Unassigned", Projects!A268))</f>
        <v/>
      </c>
      <c r="B259" t="str">
        <f>IF(Projects!B268&lt;&gt;"",Projects!B268,"")</f>
        <v/>
      </c>
      <c r="C259" t="str">
        <f>IF(AND(Projects!C268="", Projects!B268=""), "", IF(Projects!C268="", "None", Projects!C268))</f>
        <v/>
      </c>
      <c r="D259" t="str">
        <f>IF(AND(Projects!D268="", Projects!B268=""), "", IF(Projects!D268="", "No OpCo", Projects!D268))</f>
        <v/>
      </c>
      <c r="E259" t="str">
        <f>IF(Projects!E268&lt;&gt;"",Projects!E268,"")</f>
        <v/>
      </c>
      <c r="F259" t="str">
        <f>IF(Projects!F268&lt;&gt;"",Projects!F268,"")</f>
        <v/>
      </c>
      <c r="G259" s="45" t="str">
        <f>IF(Projects!G268&lt;&gt;"",Projects!G268,"")</f>
        <v/>
      </c>
      <c r="H259" s="45" t="str">
        <f>IF(Projects!H268&lt;&gt;"",Projects!H268,"")</f>
        <v/>
      </c>
      <c r="I259" s="45" t="str">
        <f>IF(Projects!I268&lt;&gt;"",Projects!I268,"")</f>
        <v/>
      </c>
      <c r="J259" s="45" t="str">
        <f>IF(Projects!J268&lt;&gt;"",Projects!J268,"")</f>
        <v/>
      </c>
      <c r="K259" s="45" t="str">
        <f>IF(Projects!K268&lt;&gt;"",Projects!K268,"")</f>
        <v/>
      </c>
      <c r="L259" t="str">
        <f>IF(AND(Projects!E268&lt;&gt;"", Projects!F268&lt;&gt;""),
INDEX('Duration Table'!$D$7:$H$17,MATCH(Projects!E268,'Duration Table'!$C$7:$C$17,0),MATCH(Projects!F268,'Duration Table'!$D$6:$H$6)),
   ""
)</f>
        <v/>
      </c>
      <c r="M259" s="45" t="str" cm="1">
        <f t="array" ref="M259">_xlfn.IFS(
    G259&lt;&gt;"",G259,
    H259&lt;&gt;"",EDATE(H259,-0.25*L259),
    N259&lt;&gt;"",EDATE(N259,-0.25*L259),
    TRUE,""
)</f>
        <v/>
      </c>
      <c r="N259" s="45" t="str" cm="1">
        <f t="array" ref="N259">_xlfn.IFS(
    H259&lt;&gt;"", H259,
    COUNT(G259,I259)=2, (G259 + (DATEDIF(G259,I259,"d")*0.5)),
    COUNT(G259,J259)=2, (G259 + (DATEDIF(G259,J259,"d")*0.25)),
    COUNT(G259,K259)=2, (G259 + ((DATEDIF(G259,K259,"d")-90)*0.25)),
    COUNT(I259,J259)=2, (I259 -(DATEDIF(I259,J259,"d")*0.5)),
    COUNT(I259,K259)=2, (I259 -((DATEDIF(I259,K259,"d")-90)*0.5)),
    G259&lt;&gt;"", EDATE(G259, + L259*0.25),
    I259&lt;&gt;"", EDATE(I259, - L259*0.25),
    J259&lt;&gt;"", EDATE(J259, - L259*0.75),
    K259&lt;&gt;"", EDATE(K259, -((L259*0.75)+3)),
    TRUE, ""
)</f>
        <v/>
      </c>
      <c r="O259" s="45" t="str" cm="1">
        <f t="array" ref="O259">_xlfn.IFS(
    I259&lt;&gt;"", I259,
    COUNT(H259,J259)=2, (H259 + (DATEDIF(H259,J259,"d")*0.33)),
    COUNT(H259,K259)=2, (H259 + ((DATEDIF(H259,K259,"d")-90)*0.33)),
    COUNT(G259,J259)=2, (G259 +  DATEDIF(G259,J259,"d")*0.5),
    COUNT(G259,K259)=2, (G259 + (DATEDIF(G259,K259,"d")-90)*0.5),
    G259&lt;&gt;"", EDATE(G259, + L259*0.5),
    H259&lt;&gt;"", EDATE(H259, + L259*0.25),
    J259&lt;&gt;"", EDATE(J259, - L259*0.5),
    K259&lt;&gt;"", EDATE(K259, -((L259*0.5)+3)),
    TRUE, ""
)</f>
        <v/>
      </c>
      <c r="P259" s="45" t="str" cm="1">
        <f t="array" ref="P259">_xlfn.IFS(
    J259&lt;&gt;"", J259,
    K259&lt;&gt;"", EDATE(K259, -3),
    G259&lt;&gt;"", EDATE(G259, + L259),
    H259&lt;&gt;"", EDATE(H259, + L259*0.75),
    I259&lt;&gt;"", EDATE(I259, H L259*0.5),
    TRUE, ""
)</f>
        <v/>
      </c>
      <c r="Q259" s="45" t="str" cm="1">
        <f t="array" ref="Q259">_xlfn.IFS(
    K259&lt;&gt;"",K259,
    J259&lt;&gt;"",EDATE(J259,3),
    P259&lt;&gt;"",EDATE(P259,3),
    TRUE,""
)</f>
        <v/>
      </c>
    </row>
    <row r="260" spans="1:17" x14ac:dyDescent="0.3">
      <c r="A260" t="str">
        <f>IF(AND(Projects!A269="", Projects!B269=""), "", IF(Projects!A269="", "Unassigned", Projects!A269))</f>
        <v/>
      </c>
      <c r="B260" t="str">
        <f>IF(Projects!B269&lt;&gt;"",Projects!B269,"")</f>
        <v/>
      </c>
      <c r="C260" t="str">
        <f>IF(AND(Projects!C269="", Projects!B269=""), "", IF(Projects!C269="", "None", Projects!C269))</f>
        <v/>
      </c>
      <c r="D260" t="str">
        <f>IF(AND(Projects!D269="", Projects!B269=""), "", IF(Projects!D269="", "No OpCo", Projects!D269))</f>
        <v/>
      </c>
      <c r="E260" t="str">
        <f>IF(Projects!E269&lt;&gt;"",Projects!E269,"")</f>
        <v/>
      </c>
      <c r="F260" t="str">
        <f>IF(Projects!F269&lt;&gt;"",Projects!F269,"")</f>
        <v/>
      </c>
      <c r="G260" s="45" t="str">
        <f>IF(Projects!G269&lt;&gt;"",Projects!G269,"")</f>
        <v/>
      </c>
      <c r="H260" s="45" t="str">
        <f>IF(Projects!H269&lt;&gt;"",Projects!H269,"")</f>
        <v/>
      </c>
      <c r="I260" s="45" t="str">
        <f>IF(Projects!I269&lt;&gt;"",Projects!I269,"")</f>
        <v/>
      </c>
      <c r="J260" s="45" t="str">
        <f>IF(Projects!J269&lt;&gt;"",Projects!J269,"")</f>
        <v/>
      </c>
      <c r="K260" s="45" t="str">
        <f>IF(Projects!K269&lt;&gt;"",Projects!K269,"")</f>
        <v/>
      </c>
      <c r="L260" t="str">
        <f>IF(AND(Projects!E269&lt;&gt;"", Projects!F269&lt;&gt;""),
INDEX('Duration Table'!$D$7:$H$17,MATCH(Projects!E269,'Duration Table'!$C$7:$C$17,0),MATCH(Projects!F269,'Duration Table'!$D$6:$H$6)),
   ""
)</f>
        <v/>
      </c>
      <c r="M260" s="45" t="str" cm="1">
        <f t="array" ref="M260">_xlfn.IFS(
    G260&lt;&gt;"",G260,
    H260&lt;&gt;"",EDATE(H260,-0.25*L260),
    N260&lt;&gt;"",EDATE(N260,-0.25*L260),
    TRUE,""
)</f>
        <v/>
      </c>
      <c r="N260" s="45" t="str" cm="1">
        <f t="array" ref="N260">_xlfn.IFS(
    H260&lt;&gt;"", H260,
    COUNT(G260,I260)=2, (G260 + (DATEDIF(G260,I260,"d")*0.5)),
    COUNT(G260,J260)=2, (G260 + (DATEDIF(G260,J260,"d")*0.25)),
    COUNT(G260,K260)=2, (G260 + ((DATEDIF(G260,K260,"d")-90)*0.25)),
    COUNT(I260,J260)=2, (I260 -(DATEDIF(I260,J260,"d")*0.5)),
    COUNT(I260,K260)=2, (I260 -((DATEDIF(I260,K260,"d")-90)*0.5)),
    G260&lt;&gt;"", EDATE(G260, + L260*0.25),
    I260&lt;&gt;"", EDATE(I260, - L260*0.25),
    J260&lt;&gt;"", EDATE(J260, - L260*0.75),
    K260&lt;&gt;"", EDATE(K260, -((L260*0.75)+3)),
    TRUE, ""
)</f>
        <v/>
      </c>
      <c r="O260" s="45" t="str" cm="1">
        <f t="array" ref="O260">_xlfn.IFS(
    I260&lt;&gt;"", I260,
    COUNT(H260,J260)=2, (H260 + (DATEDIF(H260,J260,"d")*0.33)),
    COUNT(H260,K260)=2, (H260 + ((DATEDIF(H260,K260,"d")-90)*0.33)),
    COUNT(G260,J260)=2, (G260 +  DATEDIF(G260,J260,"d")*0.5),
    COUNT(G260,K260)=2, (G260 + (DATEDIF(G260,K260,"d")-90)*0.5),
    G260&lt;&gt;"", EDATE(G260, + L260*0.5),
    H260&lt;&gt;"", EDATE(H260, + L260*0.25),
    J260&lt;&gt;"", EDATE(J260, - L260*0.5),
    K260&lt;&gt;"", EDATE(K260, -((L260*0.5)+3)),
    TRUE, ""
)</f>
        <v/>
      </c>
      <c r="P260" s="45" t="str" cm="1">
        <f t="array" ref="P260">_xlfn.IFS(
    J260&lt;&gt;"", J260,
    K260&lt;&gt;"", EDATE(K260, -3),
    G260&lt;&gt;"", EDATE(G260, + L260),
    H260&lt;&gt;"", EDATE(H260, + L260*0.75),
    I260&lt;&gt;"", EDATE(I260, H L260*0.5),
    TRUE, ""
)</f>
        <v/>
      </c>
      <c r="Q260" s="45" t="str" cm="1">
        <f t="array" ref="Q260">_xlfn.IFS(
    K260&lt;&gt;"",K260,
    J260&lt;&gt;"",EDATE(J260,3),
    P260&lt;&gt;"",EDATE(P260,3),
    TRUE,""
)</f>
        <v/>
      </c>
    </row>
    <row r="261" spans="1:17" x14ac:dyDescent="0.3">
      <c r="A261" t="str">
        <f>IF(AND(Projects!A270="", Projects!B270=""), "", IF(Projects!A270="", "Unassigned", Projects!A270))</f>
        <v/>
      </c>
      <c r="B261" t="str">
        <f>IF(Projects!B270&lt;&gt;"",Projects!B270,"")</f>
        <v/>
      </c>
      <c r="C261" t="str">
        <f>IF(AND(Projects!C270="", Projects!B270=""), "", IF(Projects!C270="", "None", Projects!C270))</f>
        <v/>
      </c>
      <c r="D261" t="str">
        <f>IF(AND(Projects!D270="", Projects!B270=""), "", IF(Projects!D270="", "No OpCo", Projects!D270))</f>
        <v/>
      </c>
      <c r="E261" t="str">
        <f>IF(Projects!E270&lt;&gt;"",Projects!E270,"")</f>
        <v/>
      </c>
      <c r="F261" t="str">
        <f>IF(Projects!F270&lt;&gt;"",Projects!F270,"")</f>
        <v/>
      </c>
      <c r="G261" s="45" t="str">
        <f>IF(Projects!G270&lt;&gt;"",Projects!G270,"")</f>
        <v/>
      </c>
      <c r="H261" s="45" t="str">
        <f>IF(Projects!H270&lt;&gt;"",Projects!H270,"")</f>
        <v/>
      </c>
      <c r="I261" s="45" t="str">
        <f>IF(Projects!I270&lt;&gt;"",Projects!I270,"")</f>
        <v/>
      </c>
      <c r="J261" s="45" t="str">
        <f>IF(Projects!J270&lt;&gt;"",Projects!J270,"")</f>
        <v/>
      </c>
      <c r="K261" s="45" t="str">
        <f>IF(Projects!K270&lt;&gt;"",Projects!K270,"")</f>
        <v/>
      </c>
      <c r="L261" t="str">
        <f>IF(AND(Projects!E270&lt;&gt;"", Projects!F270&lt;&gt;""),
INDEX('Duration Table'!$D$7:$H$17,MATCH(Projects!E270,'Duration Table'!$C$7:$C$17,0),MATCH(Projects!F270,'Duration Table'!$D$6:$H$6)),
   ""
)</f>
        <v/>
      </c>
      <c r="M261" s="45" t="str" cm="1">
        <f t="array" ref="M261">_xlfn.IFS(
    G261&lt;&gt;"",G261,
    H261&lt;&gt;"",EDATE(H261,-0.25*L261),
    N261&lt;&gt;"",EDATE(N261,-0.25*L261),
    TRUE,""
)</f>
        <v/>
      </c>
      <c r="N261" s="45" t="str" cm="1">
        <f t="array" ref="N261">_xlfn.IFS(
    H261&lt;&gt;"", H261,
    COUNT(G261,I261)=2, (G261 + (DATEDIF(G261,I261,"d")*0.5)),
    COUNT(G261,J261)=2, (G261 + (DATEDIF(G261,J261,"d")*0.25)),
    COUNT(G261,K261)=2, (G261 + ((DATEDIF(G261,K261,"d")-90)*0.25)),
    COUNT(I261,J261)=2, (I261 -(DATEDIF(I261,J261,"d")*0.5)),
    COUNT(I261,K261)=2, (I261 -((DATEDIF(I261,K261,"d")-90)*0.5)),
    G261&lt;&gt;"", EDATE(G261, + L261*0.25),
    I261&lt;&gt;"", EDATE(I261, - L261*0.25),
    J261&lt;&gt;"", EDATE(J261, - L261*0.75),
    K261&lt;&gt;"", EDATE(K261, -((L261*0.75)+3)),
    TRUE, ""
)</f>
        <v/>
      </c>
      <c r="O261" s="45" t="str" cm="1">
        <f t="array" ref="O261">_xlfn.IFS(
    I261&lt;&gt;"", I261,
    COUNT(H261,J261)=2, (H261 + (DATEDIF(H261,J261,"d")*0.33)),
    COUNT(H261,K261)=2, (H261 + ((DATEDIF(H261,K261,"d")-90)*0.33)),
    COUNT(G261,J261)=2, (G261 +  DATEDIF(G261,J261,"d")*0.5),
    COUNT(G261,K261)=2, (G261 + (DATEDIF(G261,K261,"d")-90)*0.5),
    G261&lt;&gt;"", EDATE(G261, + L261*0.5),
    H261&lt;&gt;"", EDATE(H261, + L261*0.25),
    J261&lt;&gt;"", EDATE(J261, - L261*0.5),
    K261&lt;&gt;"", EDATE(K261, -((L261*0.5)+3)),
    TRUE, ""
)</f>
        <v/>
      </c>
      <c r="P261" s="45" t="str" cm="1">
        <f t="array" ref="P261">_xlfn.IFS(
    J261&lt;&gt;"", J261,
    K261&lt;&gt;"", EDATE(K261, -3),
    G261&lt;&gt;"", EDATE(G261, + L261),
    H261&lt;&gt;"", EDATE(H261, + L261*0.75),
    I261&lt;&gt;"", EDATE(I261, H L261*0.5),
    TRUE, ""
)</f>
        <v/>
      </c>
      <c r="Q261" s="45" t="str" cm="1">
        <f t="array" ref="Q261">_xlfn.IFS(
    K261&lt;&gt;"",K261,
    J261&lt;&gt;"",EDATE(J261,3),
    P261&lt;&gt;"",EDATE(P261,3),
    TRUE,""
)</f>
        <v/>
      </c>
    </row>
    <row r="262" spans="1:17" x14ac:dyDescent="0.3">
      <c r="A262" t="str">
        <f>IF(AND(Projects!A271="", Projects!B271=""), "", IF(Projects!A271="", "Unassigned", Projects!A271))</f>
        <v/>
      </c>
      <c r="B262" t="str">
        <f>IF(Projects!B271&lt;&gt;"",Projects!B271,"")</f>
        <v/>
      </c>
      <c r="C262" t="str">
        <f>IF(AND(Projects!C271="", Projects!B271=""), "", IF(Projects!C271="", "None", Projects!C271))</f>
        <v/>
      </c>
      <c r="D262" t="str">
        <f>IF(AND(Projects!D271="", Projects!B271=""), "", IF(Projects!D271="", "No OpCo", Projects!D271))</f>
        <v/>
      </c>
      <c r="E262" t="str">
        <f>IF(Projects!E271&lt;&gt;"",Projects!E271,"")</f>
        <v/>
      </c>
      <c r="F262" t="str">
        <f>IF(Projects!F271&lt;&gt;"",Projects!F271,"")</f>
        <v/>
      </c>
      <c r="G262" s="45" t="str">
        <f>IF(Projects!G271&lt;&gt;"",Projects!G271,"")</f>
        <v/>
      </c>
      <c r="H262" s="45" t="str">
        <f>IF(Projects!H271&lt;&gt;"",Projects!H271,"")</f>
        <v/>
      </c>
      <c r="I262" s="45" t="str">
        <f>IF(Projects!I271&lt;&gt;"",Projects!I271,"")</f>
        <v/>
      </c>
      <c r="J262" s="45" t="str">
        <f>IF(Projects!J271&lt;&gt;"",Projects!J271,"")</f>
        <v/>
      </c>
      <c r="K262" s="45" t="str">
        <f>IF(Projects!K271&lt;&gt;"",Projects!K271,"")</f>
        <v/>
      </c>
      <c r="L262" t="str">
        <f>IF(AND(Projects!E271&lt;&gt;"", Projects!F271&lt;&gt;""),
INDEX('Duration Table'!$D$7:$H$17,MATCH(Projects!E271,'Duration Table'!$C$7:$C$17,0),MATCH(Projects!F271,'Duration Table'!$D$6:$H$6)),
   ""
)</f>
        <v/>
      </c>
      <c r="M262" s="45" t="str" cm="1">
        <f t="array" ref="M262">_xlfn.IFS(
    G262&lt;&gt;"",G262,
    H262&lt;&gt;"",EDATE(H262,-0.25*L262),
    N262&lt;&gt;"",EDATE(N262,-0.25*L262),
    TRUE,""
)</f>
        <v/>
      </c>
      <c r="N262" s="45" t="str" cm="1">
        <f t="array" ref="N262">_xlfn.IFS(
    H262&lt;&gt;"", H262,
    COUNT(G262,I262)=2, (G262 + (DATEDIF(G262,I262,"d")*0.5)),
    COUNT(G262,J262)=2, (G262 + (DATEDIF(G262,J262,"d")*0.25)),
    COUNT(G262,K262)=2, (G262 + ((DATEDIF(G262,K262,"d")-90)*0.25)),
    COUNT(I262,J262)=2, (I262 -(DATEDIF(I262,J262,"d")*0.5)),
    COUNT(I262,K262)=2, (I262 -((DATEDIF(I262,K262,"d")-90)*0.5)),
    G262&lt;&gt;"", EDATE(G262, + L262*0.25),
    I262&lt;&gt;"", EDATE(I262, - L262*0.25),
    J262&lt;&gt;"", EDATE(J262, - L262*0.75),
    K262&lt;&gt;"", EDATE(K262, -((L262*0.75)+3)),
    TRUE, ""
)</f>
        <v/>
      </c>
      <c r="O262" s="45" t="str" cm="1">
        <f t="array" ref="O262">_xlfn.IFS(
    I262&lt;&gt;"", I262,
    COUNT(H262,J262)=2, (H262 + (DATEDIF(H262,J262,"d")*0.33)),
    COUNT(H262,K262)=2, (H262 + ((DATEDIF(H262,K262,"d")-90)*0.33)),
    COUNT(G262,J262)=2, (G262 +  DATEDIF(G262,J262,"d")*0.5),
    COUNT(G262,K262)=2, (G262 + (DATEDIF(G262,K262,"d")-90)*0.5),
    G262&lt;&gt;"", EDATE(G262, + L262*0.5),
    H262&lt;&gt;"", EDATE(H262, + L262*0.25),
    J262&lt;&gt;"", EDATE(J262, - L262*0.5),
    K262&lt;&gt;"", EDATE(K262, -((L262*0.5)+3)),
    TRUE, ""
)</f>
        <v/>
      </c>
      <c r="P262" s="45" t="str" cm="1">
        <f t="array" ref="P262">_xlfn.IFS(
    J262&lt;&gt;"", J262,
    K262&lt;&gt;"", EDATE(K262, -3),
    G262&lt;&gt;"", EDATE(G262, + L262),
    H262&lt;&gt;"", EDATE(H262, + L262*0.75),
    I262&lt;&gt;"", EDATE(I262, H L262*0.5),
    TRUE, ""
)</f>
        <v/>
      </c>
      <c r="Q262" s="45" t="str" cm="1">
        <f t="array" ref="Q262">_xlfn.IFS(
    K262&lt;&gt;"",K262,
    J262&lt;&gt;"",EDATE(J262,3),
    P262&lt;&gt;"",EDATE(P262,3),
    TRUE,""
)</f>
        <v/>
      </c>
    </row>
    <row r="263" spans="1:17" x14ac:dyDescent="0.3">
      <c r="A263" t="str">
        <f>IF(AND(Projects!A272="", Projects!B272=""), "", IF(Projects!A272="", "Unassigned", Projects!A272))</f>
        <v/>
      </c>
      <c r="B263" t="str">
        <f>IF(Projects!B272&lt;&gt;"",Projects!B272,"")</f>
        <v/>
      </c>
      <c r="C263" t="str">
        <f>IF(AND(Projects!C272="", Projects!B272=""), "", IF(Projects!C272="", "None", Projects!C272))</f>
        <v/>
      </c>
      <c r="D263" t="str">
        <f>IF(AND(Projects!D272="", Projects!B272=""), "", IF(Projects!D272="", "No OpCo", Projects!D272))</f>
        <v/>
      </c>
      <c r="E263" t="str">
        <f>IF(Projects!E272&lt;&gt;"",Projects!E272,"")</f>
        <v/>
      </c>
      <c r="F263" t="str">
        <f>IF(Projects!F272&lt;&gt;"",Projects!F272,"")</f>
        <v/>
      </c>
      <c r="G263" s="45" t="str">
        <f>IF(Projects!G272&lt;&gt;"",Projects!G272,"")</f>
        <v/>
      </c>
      <c r="H263" s="45" t="str">
        <f>IF(Projects!H272&lt;&gt;"",Projects!H272,"")</f>
        <v/>
      </c>
      <c r="I263" s="45" t="str">
        <f>IF(Projects!I272&lt;&gt;"",Projects!I272,"")</f>
        <v/>
      </c>
      <c r="J263" s="45" t="str">
        <f>IF(Projects!J272&lt;&gt;"",Projects!J272,"")</f>
        <v/>
      </c>
      <c r="K263" s="45" t="str">
        <f>IF(Projects!K272&lt;&gt;"",Projects!K272,"")</f>
        <v/>
      </c>
      <c r="L263" t="str">
        <f>IF(AND(Projects!E272&lt;&gt;"", Projects!F272&lt;&gt;""),
INDEX('Duration Table'!$D$7:$H$17,MATCH(Projects!E272,'Duration Table'!$C$7:$C$17,0),MATCH(Projects!F272,'Duration Table'!$D$6:$H$6)),
   ""
)</f>
        <v/>
      </c>
      <c r="M263" s="45" t="str" cm="1">
        <f t="array" ref="M263">_xlfn.IFS(
    G263&lt;&gt;"",G263,
    H263&lt;&gt;"",EDATE(H263,-0.25*L263),
    N263&lt;&gt;"",EDATE(N263,-0.25*L263),
    TRUE,""
)</f>
        <v/>
      </c>
      <c r="N263" s="45" t="str" cm="1">
        <f t="array" ref="N263">_xlfn.IFS(
    H263&lt;&gt;"", H263,
    COUNT(G263,I263)=2, (G263 + (DATEDIF(G263,I263,"d")*0.5)),
    COUNT(G263,J263)=2, (G263 + (DATEDIF(G263,J263,"d")*0.25)),
    COUNT(G263,K263)=2, (G263 + ((DATEDIF(G263,K263,"d")-90)*0.25)),
    COUNT(I263,J263)=2, (I263 -(DATEDIF(I263,J263,"d")*0.5)),
    COUNT(I263,K263)=2, (I263 -((DATEDIF(I263,K263,"d")-90)*0.5)),
    G263&lt;&gt;"", EDATE(G263, + L263*0.25),
    I263&lt;&gt;"", EDATE(I263, - L263*0.25),
    J263&lt;&gt;"", EDATE(J263, - L263*0.75),
    K263&lt;&gt;"", EDATE(K263, -((L263*0.75)+3)),
    TRUE, ""
)</f>
        <v/>
      </c>
      <c r="O263" s="45" t="str" cm="1">
        <f t="array" ref="O263">_xlfn.IFS(
    I263&lt;&gt;"", I263,
    COUNT(H263,J263)=2, (H263 + (DATEDIF(H263,J263,"d")*0.33)),
    COUNT(H263,K263)=2, (H263 + ((DATEDIF(H263,K263,"d")-90)*0.33)),
    COUNT(G263,J263)=2, (G263 +  DATEDIF(G263,J263,"d")*0.5),
    COUNT(G263,K263)=2, (G263 + (DATEDIF(G263,K263,"d")-90)*0.5),
    G263&lt;&gt;"", EDATE(G263, + L263*0.5),
    H263&lt;&gt;"", EDATE(H263, + L263*0.25),
    J263&lt;&gt;"", EDATE(J263, - L263*0.5),
    K263&lt;&gt;"", EDATE(K263, -((L263*0.5)+3)),
    TRUE, ""
)</f>
        <v/>
      </c>
      <c r="P263" s="45" t="str" cm="1">
        <f t="array" ref="P263">_xlfn.IFS(
    J263&lt;&gt;"", J263,
    K263&lt;&gt;"", EDATE(K263, -3),
    G263&lt;&gt;"", EDATE(G263, + L263),
    H263&lt;&gt;"", EDATE(H263, + L263*0.75),
    I263&lt;&gt;"", EDATE(I263, H L263*0.5),
    TRUE, ""
)</f>
        <v/>
      </c>
      <c r="Q263" s="45" t="str" cm="1">
        <f t="array" ref="Q263">_xlfn.IFS(
    K263&lt;&gt;"",K263,
    J263&lt;&gt;"",EDATE(J263,3),
    P263&lt;&gt;"",EDATE(P263,3),
    TRUE,""
)</f>
        <v/>
      </c>
    </row>
    <row r="264" spans="1:17" x14ac:dyDescent="0.3">
      <c r="A264" t="str">
        <f>IF(AND(Projects!A273="", Projects!B273=""), "", IF(Projects!A273="", "Unassigned", Projects!A273))</f>
        <v/>
      </c>
      <c r="B264" t="str">
        <f>IF(Projects!B273&lt;&gt;"",Projects!B273,"")</f>
        <v/>
      </c>
      <c r="C264" t="str">
        <f>IF(AND(Projects!C273="", Projects!B273=""), "", IF(Projects!C273="", "None", Projects!C273))</f>
        <v/>
      </c>
      <c r="D264" t="str">
        <f>IF(AND(Projects!D273="", Projects!B273=""), "", IF(Projects!D273="", "No OpCo", Projects!D273))</f>
        <v/>
      </c>
      <c r="E264" t="str">
        <f>IF(Projects!E273&lt;&gt;"",Projects!E273,"")</f>
        <v/>
      </c>
      <c r="F264" t="str">
        <f>IF(Projects!F273&lt;&gt;"",Projects!F273,"")</f>
        <v/>
      </c>
      <c r="G264" s="45" t="str">
        <f>IF(Projects!G273&lt;&gt;"",Projects!G273,"")</f>
        <v/>
      </c>
      <c r="H264" s="45" t="str">
        <f>IF(Projects!H273&lt;&gt;"",Projects!H273,"")</f>
        <v/>
      </c>
      <c r="I264" s="45" t="str">
        <f>IF(Projects!I273&lt;&gt;"",Projects!I273,"")</f>
        <v/>
      </c>
      <c r="J264" s="45" t="str">
        <f>IF(Projects!J273&lt;&gt;"",Projects!J273,"")</f>
        <v/>
      </c>
      <c r="K264" s="45" t="str">
        <f>IF(Projects!K273&lt;&gt;"",Projects!K273,"")</f>
        <v/>
      </c>
      <c r="L264" t="str">
        <f>IF(AND(Projects!E273&lt;&gt;"", Projects!F273&lt;&gt;""),
INDEX('Duration Table'!$D$7:$H$17,MATCH(Projects!E273,'Duration Table'!$C$7:$C$17,0),MATCH(Projects!F273,'Duration Table'!$D$6:$H$6)),
   ""
)</f>
        <v/>
      </c>
      <c r="M264" s="45" t="str" cm="1">
        <f t="array" ref="M264">_xlfn.IFS(
    G264&lt;&gt;"",G264,
    H264&lt;&gt;"",EDATE(H264,-0.25*L264),
    N264&lt;&gt;"",EDATE(N264,-0.25*L264),
    TRUE,""
)</f>
        <v/>
      </c>
      <c r="N264" s="45" t="str" cm="1">
        <f t="array" ref="N264">_xlfn.IFS(
    H264&lt;&gt;"", H264,
    COUNT(G264,I264)=2, (G264 + (DATEDIF(G264,I264,"d")*0.5)),
    COUNT(G264,J264)=2, (G264 + (DATEDIF(G264,J264,"d")*0.25)),
    COUNT(G264,K264)=2, (G264 + ((DATEDIF(G264,K264,"d")-90)*0.25)),
    COUNT(I264,J264)=2, (I264 -(DATEDIF(I264,J264,"d")*0.5)),
    COUNT(I264,K264)=2, (I264 -((DATEDIF(I264,K264,"d")-90)*0.5)),
    G264&lt;&gt;"", EDATE(G264, + L264*0.25),
    I264&lt;&gt;"", EDATE(I264, - L264*0.25),
    J264&lt;&gt;"", EDATE(J264, - L264*0.75),
    K264&lt;&gt;"", EDATE(K264, -((L264*0.75)+3)),
    TRUE, ""
)</f>
        <v/>
      </c>
      <c r="O264" s="45" t="str" cm="1">
        <f t="array" ref="O264">_xlfn.IFS(
    I264&lt;&gt;"", I264,
    COUNT(H264,J264)=2, (H264 + (DATEDIF(H264,J264,"d")*0.33)),
    COUNT(H264,K264)=2, (H264 + ((DATEDIF(H264,K264,"d")-90)*0.33)),
    COUNT(G264,J264)=2, (G264 +  DATEDIF(G264,J264,"d")*0.5),
    COUNT(G264,K264)=2, (G264 + (DATEDIF(G264,K264,"d")-90)*0.5),
    G264&lt;&gt;"", EDATE(G264, + L264*0.5),
    H264&lt;&gt;"", EDATE(H264, + L264*0.25),
    J264&lt;&gt;"", EDATE(J264, - L264*0.5),
    K264&lt;&gt;"", EDATE(K264, -((L264*0.5)+3)),
    TRUE, ""
)</f>
        <v/>
      </c>
      <c r="P264" s="45" t="str" cm="1">
        <f t="array" ref="P264">_xlfn.IFS(
    J264&lt;&gt;"", J264,
    K264&lt;&gt;"", EDATE(K264, -3),
    G264&lt;&gt;"", EDATE(G264, + L264),
    H264&lt;&gt;"", EDATE(H264, + L264*0.75),
    I264&lt;&gt;"", EDATE(I264, H L264*0.5),
    TRUE, ""
)</f>
        <v/>
      </c>
      <c r="Q264" s="45" t="str" cm="1">
        <f t="array" ref="Q264">_xlfn.IFS(
    K264&lt;&gt;"",K264,
    J264&lt;&gt;"",EDATE(J264,3),
    P264&lt;&gt;"",EDATE(P264,3),
    TRUE,""
)</f>
        <v/>
      </c>
    </row>
    <row r="265" spans="1:17" x14ac:dyDescent="0.3">
      <c r="A265" t="str">
        <f>IF(AND(Projects!A274="", Projects!B274=""), "", IF(Projects!A274="", "Unassigned", Projects!A274))</f>
        <v/>
      </c>
      <c r="B265" t="str">
        <f>IF(Projects!B274&lt;&gt;"",Projects!B274,"")</f>
        <v/>
      </c>
      <c r="C265" t="str">
        <f>IF(AND(Projects!C274="", Projects!B274=""), "", IF(Projects!C274="", "None", Projects!C274))</f>
        <v/>
      </c>
      <c r="D265" t="str">
        <f>IF(AND(Projects!D274="", Projects!B274=""), "", IF(Projects!D274="", "No OpCo", Projects!D274))</f>
        <v/>
      </c>
      <c r="E265" t="str">
        <f>IF(Projects!E274&lt;&gt;"",Projects!E274,"")</f>
        <v/>
      </c>
      <c r="F265" t="str">
        <f>IF(Projects!F274&lt;&gt;"",Projects!F274,"")</f>
        <v/>
      </c>
      <c r="G265" s="45" t="str">
        <f>IF(Projects!G274&lt;&gt;"",Projects!G274,"")</f>
        <v/>
      </c>
      <c r="H265" s="45" t="str">
        <f>IF(Projects!H274&lt;&gt;"",Projects!H274,"")</f>
        <v/>
      </c>
      <c r="I265" s="45" t="str">
        <f>IF(Projects!I274&lt;&gt;"",Projects!I274,"")</f>
        <v/>
      </c>
      <c r="J265" s="45" t="str">
        <f>IF(Projects!J274&lt;&gt;"",Projects!J274,"")</f>
        <v/>
      </c>
      <c r="K265" s="45" t="str">
        <f>IF(Projects!K274&lt;&gt;"",Projects!K274,"")</f>
        <v/>
      </c>
      <c r="L265" t="str">
        <f>IF(AND(Projects!E274&lt;&gt;"", Projects!F274&lt;&gt;""),
INDEX('Duration Table'!$D$7:$H$17,MATCH(Projects!E274,'Duration Table'!$C$7:$C$17,0),MATCH(Projects!F274,'Duration Table'!$D$6:$H$6)),
   ""
)</f>
        <v/>
      </c>
      <c r="M265" s="45" t="str" cm="1">
        <f t="array" ref="M265">_xlfn.IFS(
    G265&lt;&gt;"",G265,
    H265&lt;&gt;"",EDATE(H265,-0.25*L265),
    N265&lt;&gt;"",EDATE(N265,-0.25*L265),
    TRUE,""
)</f>
        <v/>
      </c>
      <c r="N265" s="45" t="str" cm="1">
        <f t="array" ref="N265">_xlfn.IFS(
    H265&lt;&gt;"", H265,
    COUNT(G265,I265)=2, (G265 + (DATEDIF(G265,I265,"d")*0.5)),
    COUNT(G265,J265)=2, (G265 + (DATEDIF(G265,J265,"d")*0.25)),
    COUNT(G265,K265)=2, (G265 + ((DATEDIF(G265,K265,"d")-90)*0.25)),
    COUNT(I265,J265)=2, (I265 -(DATEDIF(I265,J265,"d")*0.5)),
    COUNT(I265,K265)=2, (I265 -((DATEDIF(I265,K265,"d")-90)*0.5)),
    G265&lt;&gt;"", EDATE(G265, + L265*0.25),
    I265&lt;&gt;"", EDATE(I265, - L265*0.25),
    J265&lt;&gt;"", EDATE(J265, - L265*0.75),
    K265&lt;&gt;"", EDATE(K265, -((L265*0.75)+3)),
    TRUE, ""
)</f>
        <v/>
      </c>
      <c r="O265" s="45" t="str" cm="1">
        <f t="array" ref="O265">_xlfn.IFS(
    I265&lt;&gt;"", I265,
    COUNT(H265,J265)=2, (H265 + (DATEDIF(H265,J265,"d")*0.33)),
    COUNT(H265,K265)=2, (H265 + ((DATEDIF(H265,K265,"d")-90)*0.33)),
    COUNT(G265,J265)=2, (G265 +  DATEDIF(G265,J265,"d")*0.5),
    COUNT(G265,K265)=2, (G265 + (DATEDIF(G265,K265,"d")-90)*0.5),
    G265&lt;&gt;"", EDATE(G265, + L265*0.5),
    H265&lt;&gt;"", EDATE(H265, + L265*0.25),
    J265&lt;&gt;"", EDATE(J265, - L265*0.5),
    K265&lt;&gt;"", EDATE(K265, -((L265*0.5)+3)),
    TRUE, ""
)</f>
        <v/>
      </c>
      <c r="P265" s="45" t="str" cm="1">
        <f t="array" ref="P265">_xlfn.IFS(
    J265&lt;&gt;"", J265,
    K265&lt;&gt;"", EDATE(K265, -3),
    G265&lt;&gt;"", EDATE(G265, + L265),
    H265&lt;&gt;"", EDATE(H265, + L265*0.75),
    I265&lt;&gt;"", EDATE(I265, H L265*0.5),
    TRUE, ""
)</f>
        <v/>
      </c>
      <c r="Q265" s="45" t="str" cm="1">
        <f t="array" ref="Q265">_xlfn.IFS(
    K265&lt;&gt;"",K265,
    J265&lt;&gt;"",EDATE(J265,3),
    P265&lt;&gt;"",EDATE(P265,3),
    TRUE,""
)</f>
        <v/>
      </c>
    </row>
    <row r="266" spans="1:17" x14ac:dyDescent="0.3">
      <c r="A266" t="str">
        <f>IF(AND(Projects!A275="", Projects!B275=""), "", IF(Projects!A275="", "Unassigned", Projects!A275))</f>
        <v/>
      </c>
      <c r="B266" t="str">
        <f>IF(Projects!B275&lt;&gt;"",Projects!B275,"")</f>
        <v/>
      </c>
      <c r="C266" t="str">
        <f>IF(AND(Projects!C275="", Projects!B275=""), "", IF(Projects!C275="", "None", Projects!C275))</f>
        <v/>
      </c>
      <c r="D266" t="str">
        <f>IF(AND(Projects!D275="", Projects!B275=""), "", IF(Projects!D275="", "No OpCo", Projects!D275))</f>
        <v/>
      </c>
      <c r="E266" t="str">
        <f>IF(Projects!E275&lt;&gt;"",Projects!E275,"")</f>
        <v/>
      </c>
      <c r="F266" t="str">
        <f>IF(Projects!F275&lt;&gt;"",Projects!F275,"")</f>
        <v/>
      </c>
      <c r="G266" s="45" t="str">
        <f>IF(Projects!G275&lt;&gt;"",Projects!G275,"")</f>
        <v/>
      </c>
      <c r="H266" s="45" t="str">
        <f>IF(Projects!H275&lt;&gt;"",Projects!H275,"")</f>
        <v/>
      </c>
      <c r="I266" s="45" t="str">
        <f>IF(Projects!I275&lt;&gt;"",Projects!I275,"")</f>
        <v/>
      </c>
      <c r="J266" s="45" t="str">
        <f>IF(Projects!J275&lt;&gt;"",Projects!J275,"")</f>
        <v/>
      </c>
      <c r="K266" s="45" t="str">
        <f>IF(Projects!K275&lt;&gt;"",Projects!K275,"")</f>
        <v/>
      </c>
      <c r="L266" t="str">
        <f>IF(AND(Projects!E275&lt;&gt;"", Projects!F275&lt;&gt;""),
INDEX('Duration Table'!$D$7:$H$17,MATCH(Projects!E275,'Duration Table'!$C$7:$C$17,0),MATCH(Projects!F275,'Duration Table'!$D$6:$H$6)),
   ""
)</f>
        <v/>
      </c>
      <c r="M266" s="45" t="str" cm="1">
        <f t="array" ref="M266">_xlfn.IFS(
    G266&lt;&gt;"",G266,
    H266&lt;&gt;"",EDATE(H266,-0.25*L266),
    N266&lt;&gt;"",EDATE(N266,-0.25*L266),
    TRUE,""
)</f>
        <v/>
      </c>
      <c r="N266" s="45" t="str" cm="1">
        <f t="array" ref="N266">_xlfn.IFS(
    H266&lt;&gt;"", H266,
    COUNT(G266,I266)=2, (G266 + (DATEDIF(G266,I266,"d")*0.5)),
    COUNT(G266,J266)=2, (G266 + (DATEDIF(G266,J266,"d")*0.25)),
    COUNT(G266,K266)=2, (G266 + ((DATEDIF(G266,K266,"d")-90)*0.25)),
    COUNT(I266,J266)=2, (I266 -(DATEDIF(I266,J266,"d")*0.5)),
    COUNT(I266,K266)=2, (I266 -((DATEDIF(I266,K266,"d")-90)*0.5)),
    G266&lt;&gt;"", EDATE(G266, + L266*0.25),
    I266&lt;&gt;"", EDATE(I266, - L266*0.25),
    J266&lt;&gt;"", EDATE(J266, - L266*0.75),
    K266&lt;&gt;"", EDATE(K266, -((L266*0.75)+3)),
    TRUE, ""
)</f>
        <v/>
      </c>
      <c r="O266" s="45" t="str" cm="1">
        <f t="array" ref="O266">_xlfn.IFS(
    I266&lt;&gt;"", I266,
    COUNT(H266,J266)=2, (H266 + (DATEDIF(H266,J266,"d")*0.33)),
    COUNT(H266,K266)=2, (H266 + ((DATEDIF(H266,K266,"d")-90)*0.33)),
    COUNT(G266,J266)=2, (G266 +  DATEDIF(G266,J266,"d")*0.5),
    COUNT(G266,K266)=2, (G266 + (DATEDIF(G266,K266,"d")-90)*0.5),
    G266&lt;&gt;"", EDATE(G266, + L266*0.5),
    H266&lt;&gt;"", EDATE(H266, + L266*0.25),
    J266&lt;&gt;"", EDATE(J266, - L266*0.5),
    K266&lt;&gt;"", EDATE(K266, -((L266*0.5)+3)),
    TRUE, ""
)</f>
        <v/>
      </c>
      <c r="P266" s="45" t="str" cm="1">
        <f t="array" ref="P266">_xlfn.IFS(
    J266&lt;&gt;"", J266,
    K266&lt;&gt;"", EDATE(K266, -3),
    G266&lt;&gt;"", EDATE(G266, + L266),
    H266&lt;&gt;"", EDATE(H266, + L266*0.75),
    I266&lt;&gt;"", EDATE(I266, H L266*0.5),
    TRUE, ""
)</f>
        <v/>
      </c>
      <c r="Q266" s="45" t="str" cm="1">
        <f t="array" ref="Q266">_xlfn.IFS(
    K266&lt;&gt;"",K266,
    J266&lt;&gt;"",EDATE(J266,3),
    P266&lt;&gt;"",EDATE(P266,3),
    TRUE,""
)</f>
        <v/>
      </c>
    </row>
    <row r="267" spans="1:17" x14ac:dyDescent="0.3">
      <c r="A267" t="str">
        <f>IF(AND(Projects!A276="", Projects!B276=""), "", IF(Projects!A276="", "Unassigned", Projects!A276))</f>
        <v/>
      </c>
      <c r="B267" t="str">
        <f>IF(Projects!B276&lt;&gt;"",Projects!B276,"")</f>
        <v/>
      </c>
      <c r="C267" t="str">
        <f>IF(AND(Projects!C276="", Projects!B276=""), "", IF(Projects!C276="", "None", Projects!C276))</f>
        <v/>
      </c>
      <c r="D267" t="str">
        <f>IF(AND(Projects!D276="", Projects!B276=""), "", IF(Projects!D276="", "No OpCo", Projects!D276))</f>
        <v/>
      </c>
      <c r="E267" t="str">
        <f>IF(Projects!E276&lt;&gt;"",Projects!E276,"")</f>
        <v/>
      </c>
      <c r="F267" t="str">
        <f>IF(Projects!F276&lt;&gt;"",Projects!F276,"")</f>
        <v/>
      </c>
      <c r="G267" s="45" t="str">
        <f>IF(Projects!G276&lt;&gt;"",Projects!G276,"")</f>
        <v/>
      </c>
      <c r="H267" s="45" t="str">
        <f>IF(Projects!H276&lt;&gt;"",Projects!H276,"")</f>
        <v/>
      </c>
      <c r="I267" s="45" t="str">
        <f>IF(Projects!I276&lt;&gt;"",Projects!I276,"")</f>
        <v/>
      </c>
      <c r="J267" s="45" t="str">
        <f>IF(Projects!J276&lt;&gt;"",Projects!J276,"")</f>
        <v/>
      </c>
      <c r="K267" s="45" t="str">
        <f>IF(Projects!K276&lt;&gt;"",Projects!K276,"")</f>
        <v/>
      </c>
      <c r="L267" t="str">
        <f>IF(AND(Projects!E276&lt;&gt;"", Projects!F276&lt;&gt;""),
INDEX('Duration Table'!$D$7:$H$17,MATCH(Projects!E276,'Duration Table'!$C$7:$C$17,0),MATCH(Projects!F276,'Duration Table'!$D$6:$H$6)),
   ""
)</f>
        <v/>
      </c>
      <c r="M267" s="45" t="str" cm="1">
        <f t="array" ref="M267">_xlfn.IFS(
    G267&lt;&gt;"",G267,
    H267&lt;&gt;"",EDATE(H267,-0.25*L267),
    N267&lt;&gt;"",EDATE(N267,-0.25*L267),
    TRUE,""
)</f>
        <v/>
      </c>
      <c r="N267" s="45" t="str" cm="1">
        <f t="array" ref="N267">_xlfn.IFS(
    H267&lt;&gt;"", H267,
    COUNT(G267,I267)=2, (G267 + (DATEDIF(G267,I267,"d")*0.5)),
    COUNT(G267,J267)=2, (G267 + (DATEDIF(G267,J267,"d")*0.25)),
    COUNT(G267,K267)=2, (G267 + ((DATEDIF(G267,K267,"d")-90)*0.25)),
    COUNT(I267,J267)=2, (I267 -(DATEDIF(I267,J267,"d")*0.5)),
    COUNT(I267,K267)=2, (I267 -((DATEDIF(I267,K267,"d")-90)*0.5)),
    G267&lt;&gt;"", EDATE(G267, + L267*0.25),
    I267&lt;&gt;"", EDATE(I267, - L267*0.25),
    J267&lt;&gt;"", EDATE(J267, - L267*0.75),
    K267&lt;&gt;"", EDATE(K267, -((L267*0.75)+3)),
    TRUE, ""
)</f>
        <v/>
      </c>
      <c r="O267" s="45" t="str" cm="1">
        <f t="array" ref="O267">_xlfn.IFS(
    I267&lt;&gt;"", I267,
    COUNT(H267,J267)=2, (H267 + (DATEDIF(H267,J267,"d")*0.33)),
    COUNT(H267,K267)=2, (H267 + ((DATEDIF(H267,K267,"d")-90)*0.33)),
    COUNT(G267,J267)=2, (G267 +  DATEDIF(G267,J267,"d")*0.5),
    COUNT(G267,K267)=2, (G267 + (DATEDIF(G267,K267,"d")-90)*0.5),
    G267&lt;&gt;"", EDATE(G267, + L267*0.5),
    H267&lt;&gt;"", EDATE(H267, + L267*0.25),
    J267&lt;&gt;"", EDATE(J267, - L267*0.5),
    K267&lt;&gt;"", EDATE(K267, -((L267*0.5)+3)),
    TRUE, ""
)</f>
        <v/>
      </c>
      <c r="P267" s="45" t="str" cm="1">
        <f t="array" ref="P267">_xlfn.IFS(
    J267&lt;&gt;"", J267,
    K267&lt;&gt;"", EDATE(K267, -3),
    G267&lt;&gt;"", EDATE(G267, + L267),
    H267&lt;&gt;"", EDATE(H267, + L267*0.75),
    I267&lt;&gt;"", EDATE(I267, H L267*0.5),
    TRUE, ""
)</f>
        <v/>
      </c>
      <c r="Q267" s="45" t="str" cm="1">
        <f t="array" ref="Q267">_xlfn.IFS(
    K267&lt;&gt;"",K267,
    J267&lt;&gt;"",EDATE(J267,3),
    P267&lt;&gt;"",EDATE(P267,3),
    TRUE,""
)</f>
        <v/>
      </c>
    </row>
    <row r="268" spans="1:17" x14ac:dyDescent="0.3">
      <c r="A268" t="str">
        <f>IF(AND(Projects!A277="", Projects!B277=""), "", IF(Projects!A277="", "Unassigned", Projects!A277))</f>
        <v/>
      </c>
      <c r="B268" t="str">
        <f>IF(Projects!B277&lt;&gt;"",Projects!B277,"")</f>
        <v/>
      </c>
      <c r="C268" t="str">
        <f>IF(AND(Projects!C277="", Projects!B277=""), "", IF(Projects!C277="", "None", Projects!C277))</f>
        <v/>
      </c>
      <c r="D268" t="str">
        <f>IF(AND(Projects!D277="", Projects!B277=""), "", IF(Projects!D277="", "No OpCo", Projects!D277))</f>
        <v/>
      </c>
      <c r="E268" t="str">
        <f>IF(Projects!E277&lt;&gt;"",Projects!E277,"")</f>
        <v/>
      </c>
      <c r="F268" t="str">
        <f>IF(Projects!F277&lt;&gt;"",Projects!F277,"")</f>
        <v/>
      </c>
      <c r="G268" s="45" t="str">
        <f>IF(Projects!G277&lt;&gt;"",Projects!G277,"")</f>
        <v/>
      </c>
      <c r="H268" s="45" t="str">
        <f>IF(Projects!H277&lt;&gt;"",Projects!H277,"")</f>
        <v/>
      </c>
      <c r="I268" s="45" t="str">
        <f>IF(Projects!I277&lt;&gt;"",Projects!I277,"")</f>
        <v/>
      </c>
      <c r="J268" s="45" t="str">
        <f>IF(Projects!J277&lt;&gt;"",Projects!J277,"")</f>
        <v/>
      </c>
      <c r="K268" s="45" t="str">
        <f>IF(Projects!K277&lt;&gt;"",Projects!K277,"")</f>
        <v/>
      </c>
      <c r="L268" t="str">
        <f>IF(AND(Projects!E277&lt;&gt;"", Projects!F277&lt;&gt;""),
INDEX('Duration Table'!$D$7:$H$17,MATCH(Projects!E277,'Duration Table'!$C$7:$C$17,0),MATCH(Projects!F277,'Duration Table'!$D$6:$H$6)),
   ""
)</f>
        <v/>
      </c>
      <c r="M268" s="45" t="str" cm="1">
        <f t="array" ref="M268">_xlfn.IFS(
    G268&lt;&gt;"",G268,
    H268&lt;&gt;"",EDATE(H268,-0.25*L268),
    N268&lt;&gt;"",EDATE(N268,-0.25*L268),
    TRUE,""
)</f>
        <v/>
      </c>
      <c r="N268" s="45" t="str" cm="1">
        <f t="array" ref="N268">_xlfn.IFS(
    H268&lt;&gt;"", H268,
    COUNT(G268,I268)=2, (G268 + (DATEDIF(G268,I268,"d")*0.5)),
    COUNT(G268,J268)=2, (G268 + (DATEDIF(G268,J268,"d")*0.25)),
    COUNT(G268,K268)=2, (G268 + ((DATEDIF(G268,K268,"d")-90)*0.25)),
    COUNT(I268,J268)=2, (I268 -(DATEDIF(I268,J268,"d")*0.5)),
    COUNT(I268,K268)=2, (I268 -((DATEDIF(I268,K268,"d")-90)*0.5)),
    G268&lt;&gt;"", EDATE(G268, + L268*0.25),
    I268&lt;&gt;"", EDATE(I268, - L268*0.25),
    J268&lt;&gt;"", EDATE(J268, - L268*0.75),
    K268&lt;&gt;"", EDATE(K268, -((L268*0.75)+3)),
    TRUE, ""
)</f>
        <v/>
      </c>
      <c r="O268" s="45" t="str" cm="1">
        <f t="array" ref="O268">_xlfn.IFS(
    I268&lt;&gt;"", I268,
    COUNT(H268,J268)=2, (H268 + (DATEDIF(H268,J268,"d")*0.33)),
    COUNT(H268,K268)=2, (H268 + ((DATEDIF(H268,K268,"d")-90)*0.33)),
    COUNT(G268,J268)=2, (G268 +  DATEDIF(G268,J268,"d")*0.5),
    COUNT(G268,K268)=2, (G268 + (DATEDIF(G268,K268,"d")-90)*0.5),
    G268&lt;&gt;"", EDATE(G268, + L268*0.5),
    H268&lt;&gt;"", EDATE(H268, + L268*0.25),
    J268&lt;&gt;"", EDATE(J268, - L268*0.5),
    K268&lt;&gt;"", EDATE(K268, -((L268*0.5)+3)),
    TRUE, ""
)</f>
        <v/>
      </c>
      <c r="P268" s="45" t="str" cm="1">
        <f t="array" ref="P268">_xlfn.IFS(
    J268&lt;&gt;"", J268,
    K268&lt;&gt;"", EDATE(K268, -3),
    G268&lt;&gt;"", EDATE(G268, + L268),
    H268&lt;&gt;"", EDATE(H268, + L268*0.75),
    I268&lt;&gt;"", EDATE(I268, H L268*0.5),
    TRUE, ""
)</f>
        <v/>
      </c>
      <c r="Q268" s="45" t="str" cm="1">
        <f t="array" ref="Q268">_xlfn.IFS(
    K268&lt;&gt;"",K268,
    J268&lt;&gt;"",EDATE(J268,3),
    P268&lt;&gt;"",EDATE(P268,3),
    TRUE,""
)</f>
        <v/>
      </c>
    </row>
  </sheetData>
  <phoneticPr fontId="2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F24F-8DB0-4EB2-B570-1940594D9744}">
  <sheetPr>
    <tabColor rgb="FFC00000"/>
  </sheetPr>
  <dimension ref="A1:AD165"/>
  <sheetViews>
    <sheetView workbookViewId="0">
      <selection activeCell="B1" sqref="B1"/>
    </sheetView>
  </sheetViews>
  <sheetFormatPr defaultRowHeight="14.4" x14ac:dyDescent="0.3"/>
  <cols>
    <col min="1" max="1" width="37.109375" bestFit="1" customWidth="1"/>
    <col min="2" max="2" width="28.44140625" bestFit="1" customWidth="1"/>
    <col min="3" max="3" width="22.6640625" bestFit="1" customWidth="1"/>
    <col min="4" max="9" width="5" bestFit="1" customWidth="1"/>
    <col min="10" max="25" width="7" bestFit="1" customWidth="1"/>
    <col min="26" max="26" width="9" bestFit="1" customWidth="1"/>
    <col min="27" max="27" width="8" bestFit="1" customWidth="1"/>
    <col min="28" max="30" width="5" bestFit="1" customWidth="1"/>
  </cols>
  <sheetData>
    <row r="1" spans="1:30" ht="16.2" thickBot="1" x14ac:dyDescent="0.35">
      <c r="A1" s="40" t="s">
        <v>73</v>
      </c>
      <c r="B1" s="40" t="s">
        <v>123</v>
      </c>
      <c r="C1" s="55" t="s">
        <v>64</v>
      </c>
      <c r="D1" s="56">
        <v>1</v>
      </c>
      <c r="E1" s="57">
        <v>2</v>
      </c>
      <c r="F1" s="57">
        <v>3</v>
      </c>
      <c r="G1" s="57">
        <v>4</v>
      </c>
      <c r="H1" s="57">
        <v>5</v>
      </c>
      <c r="I1" s="58">
        <v>6</v>
      </c>
      <c r="J1" s="54">
        <v>7</v>
      </c>
      <c r="K1" s="54">
        <v>8</v>
      </c>
      <c r="L1" s="54">
        <v>9</v>
      </c>
      <c r="M1" s="54">
        <v>10</v>
      </c>
      <c r="N1" s="54">
        <v>11</v>
      </c>
      <c r="O1" s="54">
        <v>12</v>
      </c>
      <c r="P1" s="60">
        <v>13</v>
      </c>
      <c r="Q1" s="61">
        <v>14</v>
      </c>
      <c r="R1" s="61">
        <v>15</v>
      </c>
      <c r="S1" s="61">
        <v>16</v>
      </c>
      <c r="T1" s="61">
        <v>17</v>
      </c>
      <c r="U1" s="61">
        <v>18</v>
      </c>
      <c r="V1" s="61">
        <v>19</v>
      </c>
      <c r="W1" s="61">
        <v>20</v>
      </c>
      <c r="X1" s="61">
        <v>21</v>
      </c>
      <c r="Y1" s="61">
        <v>22</v>
      </c>
      <c r="Z1" s="61">
        <v>23</v>
      </c>
      <c r="AA1" s="62">
        <v>24</v>
      </c>
      <c r="AB1" s="59">
        <v>25</v>
      </c>
      <c r="AC1" s="52">
        <v>26</v>
      </c>
      <c r="AD1" s="53">
        <v>27</v>
      </c>
    </row>
    <row r="2" spans="1:30" x14ac:dyDescent="0.3">
      <c r="A2" t="str" cm="1">
        <f t="array" ref="A2:AD165">_xlfn.VSTACK(Table1[], Table2[], Table3[],Table4[], Table5[], Table6[],Table7[], Table8[], Table9[], Table912[],Table91214[])</f>
        <v>Project Manager</v>
      </c>
      <c r="B2" t="str">
        <v>Transmission and Distribution</v>
      </c>
      <c r="C2" t="str">
        <v>Project Management</v>
      </c>
      <c r="D2">
        <v>0.25</v>
      </c>
      <c r="E2">
        <v>0.25</v>
      </c>
      <c r="F2">
        <v>0.25</v>
      </c>
      <c r="G2">
        <v>0.45</v>
      </c>
      <c r="H2">
        <v>0.45</v>
      </c>
      <c r="I2">
        <v>0.45</v>
      </c>
      <c r="J2">
        <v>0.65</v>
      </c>
      <c r="K2">
        <v>0.65</v>
      </c>
      <c r="L2">
        <v>0.65</v>
      </c>
      <c r="M2">
        <v>0.85</v>
      </c>
      <c r="N2">
        <v>0.85</v>
      </c>
      <c r="O2">
        <v>0.85</v>
      </c>
      <c r="P2">
        <v>0.85</v>
      </c>
      <c r="Q2">
        <v>0.85</v>
      </c>
      <c r="R2">
        <v>0.85</v>
      </c>
      <c r="S2">
        <v>0.85</v>
      </c>
      <c r="T2">
        <v>0.85</v>
      </c>
      <c r="U2">
        <v>0.85</v>
      </c>
      <c r="V2">
        <v>0.85</v>
      </c>
      <c r="W2">
        <v>0.85</v>
      </c>
      <c r="X2">
        <v>0.85</v>
      </c>
      <c r="Y2">
        <v>0.85</v>
      </c>
      <c r="Z2">
        <v>0.85</v>
      </c>
      <c r="AA2">
        <v>0.85</v>
      </c>
      <c r="AB2">
        <v>0.5</v>
      </c>
      <c r="AC2">
        <v>0.4</v>
      </c>
      <c r="AD2">
        <v>0.25</v>
      </c>
    </row>
    <row r="3" spans="1:30" x14ac:dyDescent="0.3">
      <c r="A3" t="str">
        <v>Project Engineer</v>
      </c>
      <c r="B3" t="str">
        <v>Transmission and Distribution</v>
      </c>
      <c r="C3" t="str">
        <v>Project Management</v>
      </c>
      <c r="D3">
        <v>0.05</v>
      </c>
      <c r="E3">
        <v>0.05</v>
      </c>
      <c r="F3">
        <v>0.05</v>
      </c>
      <c r="G3">
        <v>0.05</v>
      </c>
      <c r="H3">
        <v>0.05</v>
      </c>
      <c r="I3">
        <v>0.05</v>
      </c>
      <c r="J3">
        <v>0.05</v>
      </c>
      <c r="K3">
        <v>0.05</v>
      </c>
      <c r="L3">
        <v>0.05</v>
      </c>
      <c r="M3">
        <v>0.05</v>
      </c>
      <c r="N3">
        <v>0.05</v>
      </c>
      <c r="O3">
        <v>0.05</v>
      </c>
      <c r="P3">
        <v>0.05</v>
      </c>
      <c r="Q3">
        <v>0.05</v>
      </c>
      <c r="R3">
        <v>0.05</v>
      </c>
      <c r="S3">
        <v>0.05</v>
      </c>
      <c r="T3">
        <v>0.05</v>
      </c>
      <c r="U3">
        <v>0.05</v>
      </c>
      <c r="V3">
        <v>0.05</v>
      </c>
      <c r="W3">
        <v>0.05</v>
      </c>
      <c r="X3">
        <v>0.05</v>
      </c>
      <c r="Y3">
        <v>0.05</v>
      </c>
      <c r="Z3">
        <v>0.05</v>
      </c>
      <c r="AA3">
        <v>0.05</v>
      </c>
      <c r="AB3">
        <v>0.05</v>
      </c>
      <c r="AC3">
        <v>0.05</v>
      </c>
      <c r="AD3">
        <v>0.05</v>
      </c>
    </row>
    <row r="4" spans="1:30" x14ac:dyDescent="0.3">
      <c r="A4" t="str">
        <v>Project Coordinator</v>
      </c>
      <c r="B4" t="str">
        <v>Transmission and Distribution</v>
      </c>
      <c r="C4" t="str">
        <v>Project Management</v>
      </c>
      <c r="D4">
        <v>0.05</v>
      </c>
      <c r="E4">
        <v>0.05</v>
      </c>
      <c r="F4">
        <v>0.1</v>
      </c>
      <c r="G4">
        <v>0.1</v>
      </c>
      <c r="H4">
        <v>0.15</v>
      </c>
      <c r="I4">
        <v>0.15</v>
      </c>
      <c r="J4">
        <v>0.25</v>
      </c>
      <c r="K4">
        <v>0.25</v>
      </c>
      <c r="L4">
        <v>0.25</v>
      </c>
      <c r="M4">
        <v>0.25</v>
      </c>
      <c r="N4">
        <v>0.25</v>
      </c>
      <c r="O4">
        <v>0.25</v>
      </c>
      <c r="P4">
        <v>0.25</v>
      </c>
      <c r="Q4">
        <v>0.25</v>
      </c>
      <c r="R4">
        <v>0.25</v>
      </c>
      <c r="S4">
        <v>0.25</v>
      </c>
      <c r="T4">
        <v>0.25</v>
      </c>
      <c r="U4">
        <v>0.25</v>
      </c>
      <c r="V4">
        <v>0.25</v>
      </c>
      <c r="W4">
        <v>0.25</v>
      </c>
      <c r="X4">
        <v>0.25</v>
      </c>
      <c r="Y4">
        <v>0.25</v>
      </c>
      <c r="Z4">
        <v>0.25</v>
      </c>
      <c r="AA4">
        <v>0.25</v>
      </c>
      <c r="AB4">
        <v>0.25</v>
      </c>
      <c r="AC4">
        <v>0.25</v>
      </c>
      <c r="AD4">
        <v>0.25</v>
      </c>
    </row>
    <row r="5" spans="1:30" x14ac:dyDescent="0.3">
      <c r="A5" t="str">
        <v>Overhead OE Transmission Line Engineer</v>
      </c>
      <c r="B5" t="str">
        <v>Transmission and Distribution</v>
      </c>
      <c r="C5" t="str">
        <v xml:space="preserve">Engineering </v>
      </c>
      <c r="D5">
        <v>0.05</v>
      </c>
      <c r="E5">
        <v>0.05</v>
      </c>
      <c r="F5">
        <v>0.05</v>
      </c>
      <c r="G5">
        <v>0.05</v>
      </c>
      <c r="H5">
        <v>0.05</v>
      </c>
      <c r="I5">
        <v>0.05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0.05</v>
      </c>
      <c r="AC5">
        <v>0.05</v>
      </c>
      <c r="AD5">
        <v>0</v>
      </c>
    </row>
    <row r="6" spans="1:30" x14ac:dyDescent="0.3">
      <c r="A6" t="str">
        <v>Underground OE Transmission Line Engineer</v>
      </c>
      <c r="B6" t="str">
        <v>Transmission and Distribution</v>
      </c>
      <c r="C6" t="str">
        <v xml:space="preserve">Engineering </v>
      </c>
      <c r="D6">
        <v>0.05</v>
      </c>
      <c r="E6">
        <v>0.05</v>
      </c>
      <c r="F6">
        <v>0.05</v>
      </c>
      <c r="G6">
        <v>0.05</v>
      </c>
      <c r="H6">
        <v>0.05</v>
      </c>
      <c r="I6">
        <v>0.05</v>
      </c>
      <c r="J6">
        <v>0.1</v>
      </c>
      <c r="K6">
        <v>0.1</v>
      </c>
      <c r="L6">
        <v>0.1</v>
      </c>
      <c r="M6">
        <v>0.1</v>
      </c>
      <c r="N6">
        <v>0.1</v>
      </c>
      <c r="O6">
        <v>0.1</v>
      </c>
      <c r="P6">
        <v>0.1</v>
      </c>
      <c r="Q6">
        <v>0.1</v>
      </c>
      <c r="R6">
        <v>0.1</v>
      </c>
      <c r="S6">
        <v>0.1</v>
      </c>
      <c r="T6">
        <v>0.1</v>
      </c>
      <c r="U6">
        <v>0.1</v>
      </c>
      <c r="V6">
        <v>0.1</v>
      </c>
      <c r="W6">
        <v>0.1</v>
      </c>
      <c r="X6">
        <v>0.1</v>
      </c>
      <c r="Y6">
        <v>0.1</v>
      </c>
      <c r="Z6">
        <v>0.1</v>
      </c>
      <c r="AA6">
        <v>0.1</v>
      </c>
      <c r="AB6">
        <v>0.05</v>
      </c>
      <c r="AC6">
        <v>0.05</v>
      </c>
      <c r="AD6">
        <v>0</v>
      </c>
    </row>
    <row r="7" spans="1:30" x14ac:dyDescent="0.3">
      <c r="A7" t="str">
        <v>Mechanical Engineer</v>
      </c>
      <c r="B7" t="str">
        <v>Transmission and Distribution</v>
      </c>
      <c r="C7" t="str">
        <v xml:space="preserve">Engineering </v>
      </c>
      <c r="D7">
        <v>0.05</v>
      </c>
      <c r="E7">
        <v>0.05</v>
      </c>
      <c r="F7">
        <v>0.05</v>
      </c>
      <c r="G7">
        <v>0.05</v>
      </c>
      <c r="H7">
        <v>0.05</v>
      </c>
      <c r="I7">
        <v>0.05</v>
      </c>
      <c r="J7">
        <v>0.1</v>
      </c>
      <c r="K7">
        <v>0.1</v>
      </c>
      <c r="L7">
        <v>0.1</v>
      </c>
      <c r="M7">
        <v>0.1</v>
      </c>
      <c r="N7">
        <v>0.1</v>
      </c>
      <c r="O7">
        <v>0.1</v>
      </c>
      <c r="P7">
        <v>0.1</v>
      </c>
      <c r="Q7">
        <v>0.1</v>
      </c>
      <c r="R7">
        <v>0.1</v>
      </c>
      <c r="S7">
        <v>0.1</v>
      </c>
      <c r="T7">
        <v>0.1</v>
      </c>
      <c r="U7">
        <v>0.1</v>
      </c>
      <c r="V7">
        <v>0.1</v>
      </c>
      <c r="W7">
        <v>0.1</v>
      </c>
      <c r="X7">
        <v>0.1</v>
      </c>
      <c r="Y7">
        <v>0.1</v>
      </c>
      <c r="Z7">
        <v>0.1</v>
      </c>
      <c r="AA7">
        <v>0.1</v>
      </c>
      <c r="AB7">
        <v>0.05</v>
      </c>
      <c r="AC7">
        <v>0.05</v>
      </c>
      <c r="AD7">
        <v>0</v>
      </c>
    </row>
    <row r="8" spans="1:30" x14ac:dyDescent="0.3">
      <c r="A8" t="str">
        <v>Construction Manager</v>
      </c>
      <c r="B8" t="str">
        <v>Transmission and Distribution</v>
      </c>
      <c r="C8" t="str">
        <v>Construction Monitoring</v>
      </c>
      <c r="D8">
        <v>0</v>
      </c>
      <c r="E8">
        <v>0</v>
      </c>
      <c r="F8">
        <v>0</v>
      </c>
      <c r="G8">
        <v>0.25</v>
      </c>
      <c r="H8">
        <v>0.25</v>
      </c>
      <c r="I8">
        <v>0.25</v>
      </c>
      <c r="J8">
        <v>0.5</v>
      </c>
      <c r="K8">
        <v>0.5</v>
      </c>
      <c r="L8">
        <v>0.5</v>
      </c>
      <c r="M8">
        <v>0.75</v>
      </c>
      <c r="N8">
        <v>0.75</v>
      </c>
      <c r="O8">
        <v>0.75</v>
      </c>
      <c r="P8">
        <v>0.75</v>
      </c>
      <c r="Q8">
        <v>0.75</v>
      </c>
      <c r="R8">
        <v>0.75</v>
      </c>
      <c r="S8">
        <v>0.75</v>
      </c>
      <c r="T8">
        <v>0.75</v>
      </c>
      <c r="U8">
        <v>0.75</v>
      </c>
      <c r="V8">
        <v>0.75</v>
      </c>
      <c r="W8">
        <v>0.75</v>
      </c>
      <c r="X8">
        <v>0.75</v>
      </c>
      <c r="Y8">
        <v>0.75</v>
      </c>
      <c r="Z8">
        <v>0.75</v>
      </c>
      <c r="AA8">
        <v>0.75</v>
      </c>
      <c r="AB8">
        <v>0.5</v>
      </c>
      <c r="AC8">
        <v>0.4</v>
      </c>
      <c r="AD8">
        <v>0.25</v>
      </c>
    </row>
    <row r="9" spans="1:30" x14ac:dyDescent="0.3">
      <c r="A9" t="str">
        <v>H&amp;S Field</v>
      </c>
      <c r="B9" t="str">
        <v>Transmission and Distribution</v>
      </c>
      <c r="C9" t="str">
        <v>Construction Monitoring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0.5</v>
      </c>
      <c r="Q9">
        <v>0.5</v>
      </c>
      <c r="R9">
        <v>0.5</v>
      </c>
      <c r="S9">
        <v>0.5</v>
      </c>
      <c r="T9">
        <v>0.5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0.25</v>
      </c>
      <c r="AC9">
        <v>0.15</v>
      </c>
      <c r="AD9">
        <v>0</v>
      </c>
    </row>
    <row r="10" spans="1:30" x14ac:dyDescent="0.3">
      <c r="A10" t="str">
        <v>Estimator</v>
      </c>
      <c r="B10" t="str">
        <v>Transmission and Distribution</v>
      </c>
      <c r="C10" t="str">
        <v>Project Controls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0.15</v>
      </c>
      <c r="K10">
        <v>0.15</v>
      </c>
      <c r="L10">
        <v>0.15</v>
      </c>
      <c r="M10">
        <v>0.15</v>
      </c>
      <c r="N10">
        <v>0.15</v>
      </c>
      <c r="O10">
        <v>0.15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0.05</v>
      </c>
      <c r="AC10">
        <v>0.05</v>
      </c>
      <c r="AD10">
        <v>0.05</v>
      </c>
    </row>
    <row r="11" spans="1:30" x14ac:dyDescent="0.3">
      <c r="A11" t="str">
        <v>Risk Analyst</v>
      </c>
      <c r="B11" t="str">
        <v>Transmission and Distribution</v>
      </c>
      <c r="C11" t="str">
        <v>Project Controls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0.05</v>
      </c>
      <c r="AC11">
        <v>0.05</v>
      </c>
      <c r="AD11">
        <v>0.05</v>
      </c>
    </row>
    <row r="12" spans="1:30" x14ac:dyDescent="0.3">
      <c r="A12" t="str">
        <v>Document Control Specialist</v>
      </c>
      <c r="B12" t="str">
        <v>Transmission and Distribution</v>
      </c>
      <c r="C12" t="str">
        <v>Project Controls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0.2</v>
      </c>
      <c r="Q12">
        <v>0.2</v>
      </c>
      <c r="R12">
        <v>0.2</v>
      </c>
      <c r="S12">
        <v>0.2</v>
      </c>
      <c r="T12">
        <v>0.2</v>
      </c>
      <c r="U12">
        <v>0.2</v>
      </c>
      <c r="V12">
        <v>0.2</v>
      </c>
      <c r="W12">
        <v>0.2</v>
      </c>
      <c r="X12">
        <v>0.2</v>
      </c>
      <c r="Y12">
        <v>0.2</v>
      </c>
      <c r="Z12">
        <v>0.2</v>
      </c>
      <c r="AA12">
        <v>0.2</v>
      </c>
      <c r="AB12">
        <v>0.25</v>
      </c>
      <c r="AC12">
        <v>0.25</v>
      </c>
      <c r="AD12">
        <v>0.25</v>
      </c>
    </row>
    <row r="13" spans="1:30" x14ac:dyDescent="0.3">
      <c r="A13" t="str">
        <v>Scheduler</v>
      </c>
      <c r="B13" t="str">
        <v>Transmission and Distribution</v>
      </c>
      <c r="C13" t="str">
        <v>Project Controls</v>
      </c>
      <c r="D13">
        <v>0.2</v>
      </c>
      <c r="E13">
        <v>0.2</v>
      </c>
      <c r="F13">
        <v>0.2</v>
      </c>
      <c r="G13">
        <v>0.2</v>
      </c>
      <c r="H13">
        <v>0.2</v>
      </c>
      <c r="I13">
        <v>0.2</v>
      </c>
      <c r="J13">
        <v>0.2</v>
      </c>
      <c r="K13">
        <v>0.2</v>
      </c>
      <c r="L13">
        <v>0.2</v>
      </c>
      <c r="M13">
        <v>0.2</v>
      </c>
      <c r="N13">
        <v>0.2</v>
      </c>
      <c r="O13">
        <v>0.2</v>
      </c>
      <c r="P13">
        <v>0.2</v>
      </c>
      <c r="Q13">
        <v>0.2</v>
      </c>
      <c r="R13">
        <v>0.2</v>
      </c>
      <c r="S13">
        <v>0.2</v>
      </c>
      <c r="T13">
        <v>0.2</v>
      </c>
      <c r="U13">
        <v>0.2</v>
      </c>
      <c r="V13">
        <v>0.2</v>
      </c>
      <c r="W13">
        <v>0.2</v>
      </c>
      <c r="X13">
        <v>0.2</v>
      </c>
      <c r="Y13">
        <v>0.2</v>
      </c>
      <c r="Z13">
        <v>0.2</v>
      </c>
      <c r="AA13">
        <v>0.2</v>
      </c>
      <c r="AB13">
        <v>0.05</v>
      </c>
      <c r="AC13">
        <v>0.05</v>
      </c>
      <c r="AD13">
        <v>0.05</v>
      </c>
    </row>
    <row r="14" spans="1:30" x14ac:dyDescent="0.3">
      <c r="A14" t="str">
        <v>Cost Controls</v>
      </c>
      <c r="B14" t="str">
        <v>Transmission and Distribution</v>
      </c>
      <c r="C14" t="str">
        <v>Project Controls</v>
      </c>
      <c r="D14">
        <v>0.2</v>
      </c>
      <c r="E14">
        <v>0.2</v>
      </c>
      <c r="F14">
        <v>0.2</v>
      </c>
      <c r="G14">
        <v>0.2</v>
      </c>
      <c r="H14">
        <v>0.2</v>
      </c>
      <c r="I14">
        <v>0.2</v>
      </c>
      <c r="J14">
        <v>0.45</v>
      </c>
      <c r="K14">
        <v>0.45</v>
      </c>
      <c r="L14">
        <v>0.45</v>
      </c>
      <c r="M14">
        <v>0.45</v>
      </c>
      <c r="N14">
        <v>0.45</v>
      </c>
      <c r="O14">
        <v>0.45</v>
      </c>
      <c r="P14">
        <v>0.45</v>
      </c>
      <c r="Q14">
        <v>0.45</v>
      </c>
      <c r="R14">
        <v>0.45</v>
      </c>
      <c r="S14">
        <v>0.45</v>
      </c>
      <c r="T14">
        <v>0.45</v>
      </c>
      <c r="U14">
        <v>0.45</v>
      </c>
      <c r="V14">
        <v>0.45</v>
      </c>
      <c r="W14">
        <v>0.45</v>
      </c>
      <c r="X14">
        <v>0.45</v>
      </c>
      <c r="Y14">
        <v>0.45</v>
      </c>
      <c r="Z14">
        <v>0.45</v>
      </c>
      <c r="AA14">
        <v>0.45</v>
      </c>
      <c r="AB14">
        <v>0.15</v>
      </c>
      <c r="AC14">
        <v>0.15</v>
      </c>
      <c r="AD14">
        <v>0.15</v>
      </c>
    </row>
    <row r="15" spans="1:30" x14ac:dyDescent="0.3">
      <c r="A15" t="str">
        <v>Project Manager</v>
      </c>
      <c r="B15" t="str">
        <v>Substation</v>
      </c>
      <c r="C15" t="str">
        <v>Project Management</v>
      </c>
      <c r="D15">
        <v>0.25</v>
      </c>
      <c r="E15">
        <v>0.25</v>
      </c>
      <c r="F15">
        <v>0.25</v>
      </c>
      <c r="G15">
        <v>0.45</v>
      </c>
      <c r="H15">
        <v>0.45</v>
      </c>
      <c r="I15">
        <v>0.45</v>
      </c>
      <c r="J15">
        <v>0.65</v>
      </c>
      <c r="K15">
        <v>0.65</v>
      </c>
      <c r="L15">
        <v>0.65</v>
      </c>
      <c r="M15">
        <v>0.85</v>
      </c>
      <c r="N15">
        <v>0.85</v>
      </c>
      <c r="O15">
        <v>0.85</v>
      </c>
      <c r="P15">
        <v>0.85</v>
      </c>
      <c r="Q15">
        <v>0.85</v>
      </c>
      <c r="R15">
        <v>0.85</v>
      </c>
      <c r="S15">
        <v>0.85</v>
      </c>
      <c r="T15">
        <v>0.85</v>
      </c>
      <c r="U15">
        <v>0.85</v>
      </c>
      <c r="V15">
        <v>0.85</v>
      </c>
      <c r="W15">
        <v>0.85</v>
      </c>
      <c r="X15">
        <v>0.85</v>
      </c>
      <c r="Y15">
        <v>0.85</v>
      </c>
      <c r="Z15">
        <v>0.85</v>
      </c>
      <c r="AA15">
        <v>0.85</v>
      </c>
      <c r="AB15">
        <v>0.5</v>
      </c>
      <c r="AC15">
        <v>0.4</v>
      </c>
      <c r="AD15">
        <v>0.25</v>
      </c>
    </row>
    <row r="16" spans="1:30" x14ac:dyDescent="0.3">
      <c r="A16" t="str">
        <v>Project Engineer</v>
      </c>
      <c r="B16" t="str">
        <v>Substation</v>
      </c>
      <c r="C16" t="str">
        <v>Project Management</v>
      </c>
      <c r="D16">
        <v>0.05</v>
      </c>
      <c r="E16">
        <v>0.05</v>
      </c>
      <c r="F16">
        <v>0.05</v>
      </c>
      <c r="G16">
        <v>0.05</v>
      </c>
      <c r="H16">
        <v>0.05</v>
      </c>
      <c r="I16">
        <v>0.05</v>
      </c>
      <c r="J16">
        <v>0.05</v>
      </c>
      <c r="K16">
        <v>0.05</v>
      </c>
      <c r="L16">
        <v>0.05</v>
      </c>
      <c r="M16">
        <v>0.05</v>
      </c>
      <c r="N16">
        <v>0.05</v>
      </c>
      <c r="O16">
        <v>0.05</v>
      </c>
      <c r="P16">
        <v>0.05</v>
      </c>
      <c r="Q16">
        <v>0.05</v>
      </c>
      <c r="R16">
        <v>0.05</v>
      </c>
      <c r="S16">
        <v>0.05</v>
      </c>
      <c r="T16">
        <v>0.05</v>
      </c>
      <c r="U16">
        <v>0.05</v>
      </c>
      <c r="V16">
        <v>0.05</v>
      </c>
      <c r="W16">
        <v>0.05</v>
      </c>
      <c r="X16">
        <v>0.05</v>
      </c>
      <c r="Y16">
        <v>0.05</v>
      </c>
      <c r="Z16">
        <v>0.05</v>
      </c>
      <c r="AA16">
        <v>0.05</v>
      </c>
      <c r="AB16">
        <v>0.05</v>
      </c>
      <c r="AC16">
        <v>0.05</v>
      </c>
      <c r="AD16">
        <v>0.05</v>
      </c>
    </row>
    <row r="17" spans="1:30" x14ac:dyDescent="0.3">
      <c r="A17" t="str">
        <v>Project Coordinator</v>
      </c>
      <c r="B17" t="str">
        <v>Substation</v>
      </c>
      <c r="C17" t="str">
        <v>Project Management</v>
      </c>
      <c r="D17">
        <v>0.05</v>
      </c>
      <c r="E17">
        <v>0.05</v>
      </c>
      <c r="F17">
        <v>0.1</v>
      </c>
      <c r="G17">
        <v>0.1</v>
      </c>
      <c r="H17">
        <v>0.15</v>
      </c>
      <c r="I17">
        <v>0.15</v>
      </c>
      <c r="J17">
        <v>0.25</v>
      </c>
      <c r="K17">
        <v>0.25</v>
      </c>
      <c r="L17">
        <v>0.25</v>
      </c>
      <c r="M17">
        <v>0.25</v>
      </c>
      <c r="N17">
        <v>0.25</v>
      </c>
      <c r="O17">
        <v>0.25</v>
      </c>
      <c r="P17">
        <v>0.25</v>
      </c>
      <c r="Q17">
        <v>0.25</v>
      </c>
      <c r="R17">
        <v>0.25</v>
      </c>
      <c r="S17">
        <v>0.25</v>
      </c>
      <c r="T17">
        <v>0.25</v>
      </c>
      <c r="U17">
        <v>0.25</v>
      </c>
      <c r="V17">
        <v>0.25</v>
      </c>
      <c r="W17">
        <v>0.25</v>
      </c>
      <c r="X17">
        <v>0.25</v>
      </c>
      <c r="Y17">
        <v>0.25</v>
      </c>
      <c r="Z17">
        <v>0.25</v>
      </c>
      <c r="AA17">
        <v>0.25</v>
      </c>
      <c r="AB17">
        <v>0.25</v>
      </c>
      <c r="AC17">
        <v>0.25</v>
      </c>
      <c r="AD17">
        <v>0.25</v>
      </c>
    </row>
    <row r="18" spans="1:30" x14ac:dyDescent="0.3">
      <c r="A18" t="str">
        <v>Civil Engineer</v>
      </c>
      <c r="B18" t="str">
        <v>Substation</v>
      </c>
      <c r="C18" t="str">
        <v xml:space="preserve">Engineering </v>
      </c>
      <c r="D18">
        <v>0.05</v>
      </c>
      <c r="E18">
        <v>0.05</v>
      </c>
      <c r="F18">
        <v>0.05</v>
      </c>
      <c r="G18">
        <v>0.05</v>
      </c>
      <c r="H18">
        <v>0.05</v>
      </c>
      <c r="I18">
        <v>0.05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0.05</v>
      </c>
      <c r="AC18">
        <v>0.05</v>
      </c>
      <c r="AD18">
        <v>0</v>
      </c>
    </row>
    <row r="19" spans="1:30" x14ac:dyDescent="0.3">
      <c r="A19" t="str">
        <v>OE Substation Grading Engineer</v>
      </c>
      <c r="B19" t="str">
        <v>Substation</v>
      </c>
      <c r="C19" t="str">
        <v xml:space="preserve">Engineering </v>
      </c>
      <c r="D19">
        <v>0.05</v>
      </c>
      <c r="E19">
        <v>0.05</v>
      </c>
      <c r="F19">
        <v>0.05</v>
      </c>
      <c r="G19">
        <v>0.05</v>
      </c>
      <c r="H19">
        <v>0.05</v>
      </c>
      <c r="I19">
        <v>0.05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0.05</v>
      </c>
      <c r="AC19">
        <v>0.05</v>
      </c>
      <c r="AD19">
        <v>0</v>
      </c>
    </row>
    <row r="20" spans="1:30" x14ac:dyDescent="0.3">
      <c r="A20" t="str">
        <v>P&amp;C System Protection &amp; Settings Engineer</v>
      </c>
      <c r="B20" t="str">
        <v>Substation</v>
      </c>
      <c r="C20" t="str">
        <v xml:space="preserve">Engineering </v>
      </c>
      <c r="D20">
        <v>0.05</v>
      </c>
      <c r="E20">
        <v>0.05</v>
      </c>
      <c r="F20">
        <v>0.05</v>
      </c>
      <c r="G20">
        <v>0.05</v>
      </c>
      <c r="H20">
        <v>0.05</v>
      </c>
      <c r="I20">
        <v>0.05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0.05</v>
      </c>
      <c r="AC20">
        <v>0.05</v>
      </c>
      <c r="AD20">
        <v>0</v>
      </c>
    </row>
    <row r="21" spans="1:30" x14ac:dyDescent="0.3">
      <c r="A21" t="str">
        <v>P&amp;C Automation &amp; Integration Engineer</v>
      </c>
      <c r="B21" t="str">
        <v>Substation</v>
      </c>
      <c r="C21" t="str">
        <v xml:space="preserve">Engineering 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0.05</v>
      </c>
      <c r="AC21">
        <v>0.05</v>
      </c>
      <c r="AD21">
        <v>0</v>
      </c>
    </row>
    <row r="22" spans="1:30" x14ac:dyDescent="0.3">
      <c r="A22" t="str">
        <v>OE Substation Structural Engineer</v>
      </c>
      <c r="B22" t="str">
        <v>Substation</v>
      </c>
      <c r="C22" t="str">
        <v xml:space="preserve">Engineering 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0.05</v>
      </c>
      <c r="AC22">
        <v>0.05</v>
      </c>
      <c r="AD22">
        <v>0</v>
      </c>
    </row>
    <row r="23" spans="1:30" x14ac:dyDescent="0.3">
      <c r="A23" t="str">
        <v>Substation Physical Engineer</v>
      </c>
      <c r="B23" t="str">
        <v>Substation</v>
      </c>
      <c r="C23" t="str">
        <v xml:space="preserve">Engineering 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0.1</v>
      </c>
      <c r="K23">
        <v>0.1</v>
      </c>
      <c r="L23">
        <v>0.1</v>
      </c>
      <c r="M23">
        <v>0.1</v>
      </c>
      <c r="N23">
        <v>0.1</v>
      </c>
      <c r="O23">
        <v>0.1</v>
      </c>
      <c r="P23">
        <v>0.1</v>
      </c>
      <c r="Q23">
        <v>0.1</v>
      </c>
      <c r="R23">
        <v>0.1</v>
      </c>
      <c r="S23">
        <v>0.1</v>
      </c>
      <c r="T23">
        <v>0.1</v>
      </c>
      <c r="U23">
        <v>0.1</v>
      </c>
      <c r="V23">
        <v>0.1</v>
      </c>
      <c r="W23">
        <v>0.1</v>
      </c>
      <c r="X23">
        <v>0.1</v>
      </c>
      <c r="Y23">
        <v>0.1</v>
      </c>
      <c r="Z23">
        <v>0.1</v>
      </c>
      <c r="AA23">
        <v>0.1</v>
      </c>
      <c r="AB23">
        <v>0.05</v>
      </c>
      <c r="AC23">
        <v>0.05</v>
      </c>
      <c r="AD23">
        <v>0</v>
      </c>
    </row>
    <row r="24" spans="1:30" x14ac:dyDescent="0.3">
      <c r="A24" t="str">
        <v xml:space="preserve"> Mechanical Engineer</v>
      </c>
      <c r="B24" t="str">
        <v>Substation</v>
      </c>
      <c r="C24" t="str">
        <v xml:space="preserve">Engineering 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0.1</v>
      </c>
      <c r="K24">
        <v>0.1</v>
      </c>
      <c r="L24">
        <v>0.1</v>
      </c>
      <c r="M24">
        <v>0.1</v>
      </c>
      <c r="N24">
        <v>0.1</v>
      </c>
      <c r="O24">
        <v>0.1</v>
      </c>
      <c r="P24">
        <v>0.1</v>
      </c>
      <c r="Q24">
        <v>0.1</v>
      </c>
      <c r="R24">
        <v>0.1</v>
      </c>
      <c r="S24">
        <v>0.1</v>
      </c>
      <c r="T24">
        <v>0.1</v>
      </c>
      <c r="U24">
        <v>0.1</v>
      </c>
      <c r="V24">
        <v>0.1</v>
      </c>
      <c r="W24">
        <v>0.1</v>
      </c>
      <c r="X24">
        <v>0.1</v>
      </c>
      <c r="Y24">
        <v>0.1</v>
      </c>
      <c r="Z24">
        <v>0.1</v>
      </c>
      <c r="AA24">
        <v>0.1</v>
      </c>
      <c r="AB24">
        <v>0.05</v>
      </c>
      <c r="AC24">
        <v>0.05</v>
      </c>
      <c r="AD24">
        <v>0</v>
      </c>
    </row>
    <row r="25" spans="1:30" x14ac:dyDescent="0.3">
      <c r="A25" t="str">
        <v>Substation P&amp;C Detailed Engineer</v>
      </c>
      <c r="B25" t="str">
        <v>Substation</v>
      </c>
      <c r="C25" t="str">
        <v xml:space="preserve">Engineering </v>
      </c>
      <c r="D25">
        <v>0.05</v>
      </c>
      <c r="E25">
        <v>0.05</v>
      </c>
      <c r="F25">
        <v>0.05</v>
      </c>
      <c r="G25">
        <v>0.05</v>
      </c>
      <c r="H25">
        <v>0.05</v>
      </c>
      <c r="I25">
        <v>0.05</v>
      </c>
      <c r="J25">
        <v>0.1</v>
      </c>
      <c r="K25">
        <v>0.1</v>
      </c>
      <c r="L25">
        <v>0.1</v>
      </c>
      <c r="M25">
        <v>0.1</v>
      </c>
      <c r="N25">
        <v>0.1</v>
      </c>
      <c r="O25">
        <v>0.1</v>
      </c>
      <c r="P25">
        <v>0.1</v>
      </c>
      <c r="Q25">
        <v>0.1</v>
      </c>
      <c r="R25">
        <v>0.1</v>
      </c>
      <c r="S25">
        <v>0.1</v>
      </c>
      <c r="T25">
        <v>0.1</v>
      </c>
      <c r="U25">
        <v>0.1</v>
      </c>
      <c r="V25">
        <v>0.1</v>
      </c>
      <c r="W25">
        <v>0.1</v>
      </c>
      <c r="X25">
        <v>0.1</v>
      </c>
      <c r="Y25">
        <v>0.1</v>
      </c>
      <c r="Z25">
        <v>0.1</v>
      </c>
      <c r="AA25">
        <v>0.1</v>
      </c>
      <c r="AB25">
        <v>0.05</v>
      </c>
      <c r="AC25">
        <v>0.05</v>
      </c>
      <c r="AD25">
        <v>0</v>
      </c>
    </row>
    <row r="26" spans="1:30" x14ac:dyDescent="0.3">
      <c r="A26" t="str">
        <v>Construction Manager</v>
      </c>
      <c r="B26" t="str">
        <v>Substation</v>
      </c>
      <c r="C26" t="str">
        <v>Construction Monitoring</v>
      </c>
      <c r="D26">
        <v>0</v>
      </c>
      <c r="E26">
        <v>0</v>
      </c>
      <c r="F26">
        <v>0</v>
      </c>
      <c r="G26">
        <v>0.25</v>
      </c>
      <c r="H26">
        <v>0.25</v>
      </c>
      <c r="I26">
        <v>0.25</v>
      </c>
      <c r="J26">
        <v>0.5</v>
      </c>
      <c r="K26">
        <v>0.5</v>
      </c>
      <c r="L26">
        <v>0.5</v>
      </c>
      <c r="M26">
        <v>0.75</v>
      </c>
      <c r="N26">
        <v>0.75</v>
      </c>
      <c r="O26">
        <v>0.75</v>
      </c>
      <c r="P26">
        <v>0.75</v>
      </c>
      <c r="Q26">
        <v>0.75</v>
      </c>
      <c r="R26">
        <v>0.75</v>
      </c>
      <c r="S26">
        <v>0.75</v>
      </c>
      <c r="T26">
        <v>0.75</v>
      </c>
      <c r="U26">
        <v>0.75</v>
      </c>
      <c r="V26">
        <v>0.75</v>
      </c>
      <c r="W26">
        <v>0.75</v>
      </c>
      <c r="X26">
        <v>0.75</v>
      </c>
      <c r="Y26">
        <v>0.75</v>
      </c>
      <c r="Z26">
        <v>0.75</v>
      </c>
      <c r="AA26">
        <v>0.75</v>
      </c>
      <c r="AB26">
        <v>0.5</v>
      </c>
      <c r="AC26">
        <v>0.4</v>
      </c>
      <c r="AD26">
        <v>0.25</v>
      </c>
    </row>
    <row r="27" spans="1:30" x14ac:dyDescent="0.3">
      <c r="A27" t="str">
        <v>H&amp;S Field</v>
      </c>
      <c r="B27" t="str">
        <v>Substation</v>
      </c>
      <c r="C27" t="str">
        <v>Construction Monitoring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0.5</v>
      </c>
      <c r="Q27">
        <v>0.5</v>
      </c>
      <c r="R27">
        <v>0.5</v>
      </c>
      <c r="S27">
        <v>0.5</v>
      </c>
      <c r="T27">
        <v>0.5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0.25</v>
      </c>
      <c r="AC27">
        <v>0.15</v>
      </c>
      <c r="AD27">
        <v>0</v>
      </c>
    </row>
    <row r="28" spans="1:30" x14ac:dyDescent="0.3">
      <c r="A28" t="str">
        <v>Estimator</v>
      </c>
      <c r="B28" t="str">
        <v>Substation</v>
      </c>
      <c r="C28" t="str">
        <v>Project Controls</v>
      </c>
      <c r="D28">
        <v>0.1</v>
      </c>
      <c r="E28">
        <v>0.1</v>
      </c>
      <c r="F28">
        <v>0.1</v>
      </c>
      <c r="G28">
        <v>0.1</v>
      </c>
      <c r="H28">
        <v>0.1</v>
      </c>
      <c r="I28">
        <v>0.1</v>
      </c>
      <c r="J28">
        <v>0.15</v>
      </c>
      <c r="K28">
        <v>0.15</v>
      </c>
      <c r="L28">
        <v>0.15</v>
      </c>
      <c r="M28">
        <v>0.15</v>
      </c>
      <c r="N28">
        <v>0.15</v>
      </c>
      <c r="O28">
        <v>0.15</v>
      </c>
      <c r="P28">
        <v>0.1</v>
      </c>
      <c r="Q28">
        <v>0.1</v>
      </c>
      <c r="R28">
        <v>0.1</v>
      </c>
      <c r="S28">
        <v>0.1</v>
      </c>
      <c r="T28">
        <v>0.1</v>
      </c>
      <c r="U28">
        <v>0.1</v>
      </c>
      <c r="V28">
        <v>0.1</v>
      </c>
      <c r="W28">
        <v>0.1</v>
      </c>
      <c r="X28">
        <v>0.1</v>
      </c>
      <c r="Y28">
        <v>0.1</v>
      </c>
      <c r="Z28">
        <v>0.1</v>
      </c>
      <c r="AA28">
        <v>0.1</v>
      </c>
      <c r="AB28">
        <v>0.05</v>
      </c>
      <c r="AC28">
        <v>0.05</v>
      </c>
      <c r="AD28">
        <v>0.05</v>
      </c>
    </row>
    <row r="29" spans="1:30" x14ac:dyDescent="0.3">
      <c r="A29" t="str">
        <v>Risk Analyst</v>
      </c>
      <c r="B29" t="str">
        <v>Substation</v>
      </c>
      <c r="C29" t="str">
        <v>Project Controls</v>
      </c>
      <c r="D29">
        <v>0.1</v>
      </c>
      <c r="E29">
        <v>0.1</v>
      </c>
      <c r="F29">
        <v>0.1</v>
      </c>
      <c r="G29">
        <v>0.1</v>
      </c>
      <c r="H29">
        <v>0.1</v>
      </c>
      <c r="I29">
        <v>0.1</v>
      </c>
      <c r="J29">
        <v>0.1</v>
      </c>
      <c r="K29">
        <v>0.1</v>
      </c>
      <c r="L29">
        <v>0.1</v>
      </c>
      <c r="M29">
        <v>0.1</v>
      </c>
      <c r="N29">
        <v>0.1</v>
      </c>
      <c r="O29">
        <v>0.1</v>
      </c>
      <c r="P29">
        <v>0.1</v>
      </c>
      <c r="Q29">
        <v>0.1</v>
      </c>
      <c r="R29">
        <v>0.1</v>
      </c>
      <c r="S29">
        <v>0.1</v>
      </c>
      <c r="T29">
        <v>0.1</v>
      </c>
      <c r="U29">
        <v>0.1</v>
      </c>
      <c r="V29">
        <v>0.1</v>
      </c>
      <c r="W29">
        <v>0.1</v>
      </c>
      <c r="X29">
        <v>0.1</v>
      </c>
      <c r="Y29">
        <v>0.1</v>
      </c>
      <c r="Z29">
        <v>0.1</v>
      </c>
      <c r="AA29">
        <v>0.1</v>
      </c>
      <c r="AB29">
        <v>0.05</v>
      </c>
      <c r="AC29">
        <v>0.05</v>
      </c>
      <c r="AD29">
        <v>0.05</v>
      </c>
    </row>
    <row r="30" spans="1:30" x14ac:dyDescent="0.3">
      <c r="A30" t="str">
        <v>Document Control Specialist</v>
      </c>
      <c r="B30" t="str">
        <v>Substation</v>
      </c>
      <c r="C30" t="str">
        <v>Project Controls</v>
      </c>
      <c r="D30">
        <v>0.1</v>
      </c>
      <c r="E30">
        <v>0.1</v>
      </c>
      <c r="F30">
        <v>0.1</v>
      </c>
      <c r="G30">
        <v>0.1</v>
      </c>
      <c r="H30">
        <v>0.1</v>
      </c>
      <c r="I30">
        <v>0.1</v>
      </c>
      <c r="J30">
        <v>0.1</v>
      </c>
      <c r="K30">
        <v>0.1</v>
      </c>
      <c r="L30">
        <v>0.1</v>
      </c>
      <c r="M30">
        <v>0.1</v>
      </c>
      <c r="N30">
        <v>0.1</v>
      </c>
      <c r="O30">
        <v>0.1</v>
      </c>
      <c r="P30">
        <v>0.2</v>
      </c>
      <c r="Q30">
        <v>0.2</v>
      </c>
      <c r="R30">
        <v>0.2</v>
      </c>
      <c r="S30">
        <v>0.2</v>
      </c>
      <c r="T30">
        <v>0.2</v>
      </c>
      <c r="U30">
        <v>0.2</v>
      </c>
      <c r="V30">
        <v>0.2</v>
      </c>
      <c r="W30">
        <v>0.2</v>
      </c>
      <c r="X30">
        <v>0.2</v>
      </c>
      <c r="Y30">
        <v>0.2</v>
      </c>
      <c r="Z30">
        <v>0.2</v>
      </c>
      <c r="AA30">
        <v>0.2</v>
      </c>
      <c r="AB30">
        <v>0.25</v>
      </c>
      <c r="AC30">
        <v>0.25</v>
      </c>
      <c r="AD30">
        <v>0.25</v>
      </c>
    </row>
    <row r="31" spans="1:30" x14ac:dyDescent="0.3">
      <c r="A31" t="str">
        <v>Scheduler</v>
      </c>
      <c r="B31" t="str">
        <v>Substation</v>
      </c>
      <c r="C31" t="str">
        <v>Project Controls</v>
      </c>
      <c r="D31">
        <v>0.2</v>
      </c>
      <c r="E31">
        <v>0.2</v>
      </c>
      <c r="F31">
        <v>0.2</v>
      </c>
      <c r="G31">
        <v>0.2</v>
      </c>
      <c r="H31">
        <v>0.2</v>
      </c>
      <c r="I31">
        <v>0.2</v>
      </c>
      <c r="J31">
        <v>0.2</v>
      </c>
      <c r="K31">
        <v>0.2</v>
      </c>
      <c r="L31">
        <v>0.2</v>
      </c>
      <c r="M31">
        <v>0.2</v>
      </c>
      <c r="N31">
        <v>0.2</v>
      </c>
      <c r="O31">
        <v>0.2</v>
      </c>
      <c r="P31">
        <v>0.2</v>
      </c>
      <c r="Q31">
        <v>0.2</v>
      </c>
      <c r="R31">
        <v>0.2</v>
      </c>
      <c r="S31">
        <v>0.2</v>
      </c>
      <c r="T31">
        <v>0.2</v>
      </c>
      <c r="U31">
        <v>0.2</v>
      </c>
      <c r="V31">
        <v>0.2</v>
      </c>
      <c r="W31">
        <v>0.2</v>
      </c>
      <c r="X31">
        <v>0.2</v>
      </c>
      <c r="Y31">
        <v>0.2</v>
      </c>
      <c r="Z31">
        <v>0.2</v>
      </c>
      <c r="AA31">
        <v>0.2</v>
      </c>
      <c r="AB31">
        <v>0.05</v>
      </c>
      <c r="AC31">
        <v>0.05</v>
      </c>
      <c r="AD31">
        <v>0.05</v>
      </c>
    </row>
    <row r="32" spans="1:30" x14ac:dyDescent="0.3">
      <c r="A32" t="str">
        <v>Cost Controls</v>
      </c>
      <c r="B32" t="str">
        <v>Substation</v>
      </c>
      <c r="C32" t="str">
        <v>Project Controls</v>
      </c>
      <c r="D32">
        <v>0.2</v>
      </c>
      <c r="E32">
        <v>0.2</v>
      </c>
      <c r="F32">
        <v>0.2</v>
      </c>
      <c r="G32">
        <v>0.2</v>
      </c>
      <c r="H32">
        <v>0.2</v>
      </c>
      <c r="I32">
        <v>0.2</v>
      </c>
      <c r="J32">
        <v>0.45</v>
      </c>
      <c r="K32">
        <v>0.45</v>
      </c>
      <c r="L32">
        <v>0.45</v>
      </c>
      <c r="M32">
        <v>0.45</v>
      </c>
      <c r="N32">
        <v>0.45</v>
      </c>
      <c r="O32">
        <v>0.45</v>
      </c>
      <c r="P32">
        <v>0.45</v>
      </c>
      <c r="Q32">
        <v>0.45</v>
      </c>
      <c r="R32">
        <v>0.45</v>
      </c>
      <c r="S32">
        <v>0.45</v>
      </c>
      <c r="T32">
        <v>0.45</v>
      </c>
      <c r="U32">
        <v>0.45</v>
      </c>
      <c r="V32">
        <v>0.45</v>
      </c>
      <c r="W32">
        <v>0.45</v>
      </c>
      <c r="X32">
        <v>0.45</v>
      </c>
      <c r="Y32">
        <v>0.45</v>
      </c>
      <c r="Z32">
        <v>0.45</v>
      </c>
      <c r="AA32">
        <v>0.45</v>
      </c>
      <c r="AB32">
        <v>0.15</v>
      </c>
      <c r="AC32">
        <v>0.15</v>
      </c>
      <c r="AD32">
        <v>0.15</v>
      </c>
    </row>
    <row r="33" spans="1:30" x14ac:dyDescent="0.3">
      <c r="A33" t="str">
        <v>Project Manager</v>
      </c>
      <c r="B33" t="str">
        <v>Gas</v>
      </c>
      <c r="C33" t="str">
        <v>Project Management</v>
      </c>
      <c r="D33">
        <v>0.25</v>
      </c>
      <c r="E33">
        <v>0.25</v>
      </c>
      <c r="F33">
        <v>0.25</v>
      </c>
      <c r="G33">
        <v>0.45</v>
      </c>
      <c r="H33">
        <v>0.45</v>
      </c>
      <c r="I33">
        <v>0.45</v>
      </c>
      <c r="J33">
        <v>0.65</v>
      </c>
      <c r="K33">
        <v>0.65</v>
      </c>
      <c r="L33">
        <v>0.65</v>
      </c>
      <c r="M33">
        <v>0.85</v>
      </c>
      <c r="N33">
        <v>0.85</v>
      </c>
      <c r="O33">
        <v>0.85</v>
      </c>
      <c r="P33">
        <v>0.85</v>
      </c>
      <c r="Q33">
        <v>0.85</v>
      </c>
      <c r="R33">
        <v>0.85</v>
      </c>
      <c r="S33">
        <v>0.85</v>
      </c>
      <c r="T33">
        <v>0.85</v>
      </c>
      <c r="U33">
        <v>0.85</v>
      </c>
      <c r="V33">
        <v>0.85</v>
      </c>
      <c r="W33">
        <v>0.85</v>
      </c>
      <c r="X33">
        <v>0.85</v>
      </c>
      <c r="Y33">
        <v>0.85</v>
      </c>
      <c r="Z33">
        <v>0.85</v>
      </c>
      <c r="AA33">
        <v>0.85</v>
      </c>
      <c r="AB33">
        <v>0.5</v>
      </c>
      <c r="AC33">
        <v>0.4</v>
      </c>
      <c r="AD33">
        <v>0.25</v>
      </c>
    </row>
    <row r="34" spans="1:30" x14ac:dyDescent="0.3">
      <c r="A34" t="str">
        <v>Project Engineer</v>
      </c>
      <c r="B34" t="str">
        <v>Gas</v>
      </c>
      <c r="C34" t="str">
        <v>Project Management</v>
      </c>
      <c r="D34">
        <v>0.05</v>
      </c>
      <c r="E34">
        <v>0.05</v>
      </c>
      <c r="F34">
        <v>0.05</v>
      </c>
      <c r="G34">
        <v>0.05</v>
      </c>
      <c r="H34">
        <v>0.05</v>
      </c>
      <c r="I34">
        <v>0.05</v>
      </c>
      <c r="J34">
        <v>0.05</v>
      </c>
      <c r="K34">
        <v>0.05</v>
      </c>
      <c r="L34">
        <v>0.05</v>
      </c>
      <c r="M34">
        <v>0.05</v>
      </c>
      <c r="N34">
        <v>0.05</v>
      </c>
      <c r="O34">
        <v>0.05</v>
      </c>
      <c r="P34">
        <v>0.05</v>
      </c>
      <c r="Q34">
        <v>0.05</v>
      </c>
      <c r="R34">
        <v>0.05</v>
      </c>
      <c r="S34">
        <v>0.05</v>
      </c>
      <c r="T34">
        <v>0.05</v>
      </c>
      <c r="U34">
        <v>0.05</v>
      </c>
      <c r="V34">
        <v>0.05</v>
      </c>
      <c r="W34">
        <v>0.05</v>
      </c>
      <c r="X34">
        <v>0.05</v>
      </c>
      <c r="Y34">
        <v>0.05</v>
      </c>
      <c r="Z34">
        <v>0.05</v>
      </c>
      <c r="AA34">
        <v>0.05</v>
      </c>
      <c r="AB34">
        <v>0.05</v>
      </c>
      <c r="AC34">
        <v>0.05</v>
      </c>
      <c r="AD34">
        <v>0.05</v>
      </c>
    </row>
    <row r="35" spans="1:30" x14ac:dyDescent="0.3">
      <c r="A35" t="str">
        <v>Project Coordinator</v>
      </c>
      <c r="B35" t="str">
        <v>Gas</v>
      </c>
      <c r="C35" t="str">
        <v>Project Management</v>
      </c>
      <c r="D35">
        <v>0.05</v>
      </c>
      <c r="E35">
        <v>0.05</v>
      </c>
      <c r="F35">
        <v>0.1</v>
      </c>
      <c r="G35">
        <v>0.1</v>
      </c>
      <c r="H35">
        <v>0.15</v>
      </c>
      <c r="I35">
        <v>0.15</v>
      </c>
      <c r="J35">
        <v>0.25</v>
      </c>
      <c r="K35">
        <v>0.25</v>
      </c>
      <c r="L35">
        <v>0.25</v>
      </c>
      <c r="M35">
        <v>0.25</v>
      </c>
      <c r="N35">
        <v>0.25</v>
      </c>
      <c r="O35">
        <v>0.25</v>
      </c>
      <c r="P35">
        <v>0.25</v>
      </c>
      <c r="Q35">
        <v>0.25</v>
      </c>
      <c r="R35">
        <v>0.25</v>
      </c>
      <c r="S35">
        <v>0.25</v>
      </c>
      <c r="T35">
        <v>0.25</v>
      </c>
      <c r="U35">
        <v>0.25</v>
      </c>
      <c r="V35">
        <v>0.25</v>
      </c>
      <c r="W35">
        <v>0.25</v>
      </c>
      <c r="X35">
        <v>0.25</v>
      </c>
      <c r="Y35">
        <v>0.25</v>
      </c>
      <c r="Z35">
        <v>0.25</v>
      </c>
      <c r="AA35">
        <v>0.25</v>
      </c>
      <c r="AB35">
        <v>0.25</v>
      </c>
      <c r="AC35">
        <v>0.25</v>
      </c>
      <c r="AD35">
        <v>0.25</v>
      </c>
    </row>
    <row r="36" spans="1:30" x14ac:dyDescent="0.3">
      <c r="A36" t="str">
        <v>Civil Engineer</v>
      </c>
      <c r="B36" t="str">
        <v>Gas</v>
      </c>
      <c r="C36" t="str">
        <v xml:space="preserve">Engineering </v>
      </c>
      <c r="D36">
        <v>0.05</v>
      </c>
      <c r="E36">
        <v>0.05</v>
      </c>
      <c r="F36">
        <v>0.05</v>
      </c>
      <c r="G36">
        <v>0.05</v>
      </c>
      <c r="H36">
        <v>0.05</v>
      </c>
      <c r="I36">
        <v>0.05</v>
      </c>
      <c r="J36">
        <v>0.1</v>
      </c>
      <c r="K36">
        <v>0.1</v>
      </c>
      <c r="L36">
        <v>0.1</v>
      </c>
      <c r="M36">
        <v>0.1</v>
      </c>
      <c r="N36">
        <v>0.1</v>
      </c>
      <c r="O36">
        <v>0.1</v>
      </c>
      <c r="P36">
        <v>0.1</v>
      </c>
      <c r="Q36">
        <v>0.1</v>
      </c>
      <c r="R36">
        <v>0.1</v>
      </c>
      <c r="S36">
        <v>0.1</v>
      </c>
      <c r="T36">
        <v>0.1</v>
      </c>
      <c r="U36">
        <v>0.1</v>
      </c>
      <c r="V36">
        <v>0.1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0.05</v>
      </c>
      <c r="AC36">
        <v>0.05</v>
      </c>
      <c r="AD36">
        <v>0</v>
      </c>
    </row>
    <row r="37" spans="1:30" x14ac:dyDescent="0.3">
      <c r="A37" t="str">
        <v>Structural Engineer</v>
      </c>
      <c r="B37" t="str">
        <v>Gas</v>
      </c>
      <c r="C37" t="str">
        <v xml:space="preserve">Engineering </v>
      </c>
      <c r="D37">
        <v>0.05</v>
      </c>
      <c r="E37">
        <v>0.05</v>
      </c>
      <c r="F37">
        <v>0.05</v>
      </c>
      <c r="G37">
        <v>0.05</v>
      </c>
      <c r="H37">
        <v>0.05</v>
      </c>
      <c r="I37">
        <v>0.05</v>
      </c>
      <c r="J37">
        <v>0.1</v>
      </c>
      <c r="K37">
        <v>0.1</v>
      </c>
      <c r="L37">
        <v>0.1</v>
      </c>
      <c r="M37">
        <v>0.1</v>
      </c>
      <c r="N37">
        <v>0.1</v>
      </c>
      <c r="O37">
        <v>0.1</v>
      </c>
      <c r="P37">
        <v>0.1</v>
      </c>
      <c r="Q37">
        <v>0.1</v>
      </c>
      <c r="R37">
        <v>0.1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0.1</v>
      </c>
      <c r="AB37">
        <v>0.05</v>
      </c>
      <c r="AC37">
        <v>0.05</v>
      </c>
      <c r="AD37">
        <v>0</v>
      </c>
    </row>
    <row r="38" spans="1:30" x14ac:dyDescent="0.3">
      <c r="A38" t="str">
        <v>Mechanical Engineer</v>
      </c>
      <c r="B38" t="str">
        <v>Gas</v>
      </c>
      <c r="C38" t="str">
        <v xml:space="preserve">Engineering </v>
      </c>
      <c r="D38">
        <v>0.05</v>
      </c>
      <c r="E38">
        <v>0.05</v>
      </c>
      <c r="F38">
        <v>0.05</v>
      </c>
      <c r="G38">
        <v>0.05</v>
      </c>
      <c r="H38">
        <v>0.05</v>
      </c>
      <c r="I38">
        <v>0.05</v>
      </c>
      <c r="J38">
        <v>0.1</v>
      </c>
      <c r="K38">
        <v>0.1</v>
      </c>
      <c r="L38">
        <v>0.1</v>
      </c>
      <c r="M38">
        <v>0.1</v>
      </c>
      <c r="N38">
        <v>0.1</v>
      </c>
      <c r="O38">
        <v>0.1</v>
      </c>
      <c r="P38">
        <v>0.1</v>
      </c>
      <c r="Q38">
        <v>0.1</v>
      </c>
      <c r="R38">
        <v>0.1</v>
      </c>
      <c r="S38">
        <v>0.1</v>
      </c>
      <c r="T38">
        <v>0.1</v>
      </c>
      <c r="U38">
        <v>0.1</v>
      </c>
      <c r="V38">
        <v>0.1</v>
      </c>
      <c r="W38">
        <v>0.1</v>
      </c>
      <c r="X38">
        <v>0.1</v>
      </c>
      <c r="Y38">
        <v>0.1</v>
      </c>
      <c r="Z38">
        <v>0.1</v>
      </c>
      <c r="AA38">
        <v>0.1</v>
      </c>
      <c r="AB38">
        <v>0.05</v>
      </c>
      <c r="AC38">
        <v>0.05</v>
      </c>
      <c r="AD38">
        <v>0</v>
      </c>
    </row>
    <row r="39" spans="1:30" x14ac:dyDescent="0.3">
      <c r="A39" t="str">
        <v>Construction Manager</v>
      </c>
      <c r="B39" t="str">
        <v>Gas</v>
      </c>
      <c r="C39" t="str">
        <v>Construction Monitoring</v>
      </c>
      <c r="D39">
        <v>0</v>
      </c>
      <c r="E39">
        <v>0</v>
      </c>
      <c r="F39">
        <v>0</v>
      </c>
      <c r="G39">
        <v>0.25</v>
      </c>
      <c r="H39">
        <v>0.25</v>
      </c>
      <c r="I39">
        <v>0.25</v>
      </c>
      <c r="J39">
        <v>0.5</v>
      </c>
      <c r="K39">
        <v>0.5</v>
      </c>
      <c r="L39">
        <v>0.5</v>
      </c>
      <c r="M39">
        <v>0.75</v>
      </c>
      <c r="N39">
        <v>0.75</v>
      </c>
      <c r="O39">
        <v>0.75</v>
      </c>
      <c r="P39">
        <v>0.75</v>
      </c>
      <c r="Q39">
        <v>0.75</v>
      </c>
      <c r="R39">
        <v>0.75</v>
      </c>
      <c r="S39">
        <v>0.75</v>
      </c>
      <c r="T39">
        <v>0.75</v>
      </c>
      <c r="U39">
        <v>0.75</v>
      </c>
      <c r="V39">
        <v>0.75</v>
      </c>
      <c r="W39">
        <v>0.75</v>
      </c>
      <c r="X39">
        <v>0.75</v>
      </c>
      <c r="Y39">
        <v>0.75</v>
      </c>
      <c r="Z39">
        <v>0.75</v>
      </c>
      <c r="AA39">
        <v>0.75</v>
      </c>
      <c r="AB39">
        <v>0.5</v>
      </c>
      <c r="AC39">
        <v>0.4</v>
      </c>
      <c r="AD39">
        <v>0.25</v>
      </c>
    </row>
    <row r="40" spans="1:30" x14ac:dyDescent="0.3">
      <c r="A40" t="str">
        <v>H&amp;S Field</v>
      </c>
      <c r="B40" t="str">
        <v>Gas</v>
      </c>
      <c r="C40" t="str">
        <v>Construction Monitoring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0.5</v>
      </c>
      <c r="Q40">
        <v>0.5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0.25</v>
      </c>
      <c r="AC40">
        <v>0.15</v>
      </c>
      <c r="AD40">
        <v>0</v>
      </c>
    </row>
    <row r="41" spans="1:30" x14ac:dyDescent="0.3">
      <c r="A41" t="str">
        <v>Estimator</v>
      </c>
      <c r="B41" t="str">
        <v>Gas</v>
      </c>
      <c r="C41" t="str">
        <v>Project Controls</v>
      </c>
      <c r="D41">
        <v>0.1</v>
      </c>
      <c r="E41">
        <v>0.1</v>
      </c>
      <c r="F41">
        <v>0.1</v>
      </c>
      <c r="G41">
        <v>0.1</v>
      </c>
      <c r="H41">
        <v>0.1</v>
      </c>
      <c r="I41">
        <v>0.1</v>
      </c>
      <c r="J41">
        <v>0.15</v>
      </c>
      <c r="K41">
        <v>0.15</v>
      </c>
      <c r="L41">
        <v>0.15</v>
      </c>
      <c r="M41">
        <v>0.15</v>
      </c>
      <c r="N41">
        <v>0.15</v>
      </c>
      <c r="O41">
        <v>0.15</v>
      </c>
      <c r="P41">
        <v>0.1</v>
      </c>
      <c r="Q41">
        <v>0.1</v>
      </c>
      <c r="R41">
        <v>0.1</v>
      </c>
      <c r="S41">
        <v>0.1</v>
      </c>
      <c r="T41">
        <v>0.1</v>
      </c>
      <c r="U41">
        <v>0.1</v>
      </c>
      <c r="V41">
        <v>0.1</v>
      </c>
      <c r="W41">
        <v>0.1</v>
      </c>
      <c r="X41">
        <v>0.1</v>
      </c>
      <c r="Y41">
        <v>0.1</v>
      </c>
      <c r="Z41">
        <v>0.1</v>
      </c>
      <c r="AA41">
        <v>0.1</v>
      </c>
      <c r="AB41">
        <v>0.05</v>
      </c>
      <c r="AC41">
        <v>0.05</v>
      </c>
      <c r="AD41">
        <v>0.05</v>
      </c>
    </row>
    <row r="42" spans="1:30" x14ac:dyDescent="0.3">
      <c r="A42" t="str">
        <v>Risk Analyst</v>
      </c>
      <c r="B42" t="str">
        <v>Gas</v>
      </c>
      <c r="C42" t="str">
        <v>Project Controls</v>
      </c>
      <c r="D42">
        <v>0.1</v>
      </c>
      <c r="E42">
        <v>0.1</v>
      </c>
      <c r="F42">
        <v>0.1</v>
      </c>
      <c r="G42">
        <v>0.1</v>
      </c>
      <c r="H42">
        <v>0.1</v>
      </c>
      <c r="I42">
        <v>0.1</v>
      </c>
      <c r="J42">
        <v>0.1</v>
      </c>
      <c r="K42">
        <v>0.1</v>
      </c>
      <c r="L42">
        <v>0.1</v>
      </c>
      <c r="M42">
        <v>0.1</v>
      </c>
      <c r="N42">
        <v>0.1</v>
      </c>
      <c r="O42">
        <v>0.1</v>
      </c>
      <c r="P42">
        <v>0.1</v>
      </c>
      <c r="Q42">
        <v>0.1</v>
      </c>
      <c r="R42">
        <v>0.1</v>
      </c>
      <c r="S42">
        <v>0.1</v>
      </c>
      <c r="T42">
        <v>0.1</v>
      </c>
      <c r="U42">
        <v>0.1</v>
      </c>
      <c r="V42">
        <v>0.1</v>
      </c>
      <c r="W42">
        <v>0.1</v>
      </c>
      <c r="X42">
        <v>0.1</v>
      </c>
      <c r="Y42">
        <v>0.1</v>
      </c>
      <c r="Z42">
        <v>0.1</v>
      </c>
      <c r="AA42">
        <v>0.1</v>
      </c>
      <c r="AB42">
        <v>0.05</v>
      </c>
      <c r="AC42">
        <v>0.05</v>
      </c>
      <c r="AD42">
        <v>0.05</v>
      </c>
    </row>
    <row r="43" spans="1:30" x14ac:dyDescent="0.3">
      <c r="A43" t="str">
        <v>Document Control Specialist</v>
      </c>
      <c r="B43" t="str">
        <v>Gas</v>
      </c>
      <c r="C43" t="str">
        <v>Project Controls</v>
      </c>
      <c r="D43">
        <v>0.1</v>
      </c>
      <c r="E43">
        <v>0.1</v>
      </c>
      <c r="F43">
        <v>0.1</v>
      </c>
      <c r="G43">
        <v>0.1</v>
      </c>
      <c r="H43">
        <v>0.1</v>
      </c>
      <c r="I43">
        <v>0.1</v>
      </c>
      <c r="J43">
        <v>0.1</v>
      </c>
      <c r="K43">
        <v>0.1</v>
      </c>
      <c r="L43">
        <v>0.1</v>
      </c>
      <c r="M43">
        <v>0.1</v>
      </c>
      <c r="N43">
        <v>0.1</v>
      </c>
      <c r="O43">
        <v>0.1</v>
      </c>
      <c r="P43">
        <v>0.2</v>
      </c>
      <c r="Q43">
        <v>0.2</v>
      </c>
      <c r="R43">
        <v>0.2</v>
      </c>
      <c r="S43">
        <v>0.2</v>
      </c>
      <c r="T43">
        <v>0.2</v>
      </c>
      <c r="U43">
        <v>0.2</v>
      </c>
      <c r="V43">
        <v>0.2</v>
      </c>
      <c r="W43">
        <v>0.2</v>
      </c>
      <c r="X43">
        <v>0.2</v>
      </c>
      <c r="Y43">
        <v>0.2</v>
      </c>
      <c r="Z43">
        <v>0.2</v>
      </c>
      <c r="AA43">
        <v>0.2</v>
      </c>
      <c r="AB43">
        <v>0.25</v>
      </c>
      <c r="AC43">
        <v>0.25</v>
      </c>
      <c r="AD43">
        <v>0.25</v>
      </c>
    </row>
    <row r="44" spans="1:30" x14ac:dyDescent="0.3">
      <c r="A44" t="str">
        <v>Scheduler</v>
      </c>
      <c r="B44" t="str">
        <v>Gas</v>
      </c>
      <c r="C44" t="str">
        <v>Project Controls</v>
      </c>
      <c r="D44">
        <v>0.2</v>
      </c>
      <c r="E44">
        <v>0.2</v>
      </c>
      <c r="F44">
        <v>0.2</v>
      </c>
      <c r="G44">
        <v>0.2</v>
      </c>
      <c r="H44">
        <v>0.2</v>
      </c>
      <c r="I44">
        <v>0.2</v>
      </c>
      <c r="J44">
        <v>0.2</v>
      </c>
      <c r="K44">
        <v>0.2</v>
      </c>
      <c r="L44">
        <v>0.2</v>
      </c>
      <c r="M44">
        <v>0.2</v>
      </c>
      <c r="N44">
        <v>0.2</v>
      </c>
      <c r="O44">
        <v>0.2</v>
      </c>
      <c r="P44">
        <v>0.2</v>
      </c>
      <c r="Q44">
        <v>0.2</v>
      </c>
      <c r="R44">
        <v>0.2</v>
      </c>
      <c r="S44">
        <v>0.2</v>
      </c>
      <c r="T44">
        <v>0.2</v>
      </c>
      <c r="U44">
        <v>0.2</v>
      </c>
      <c r="V44">
        <v>0.2</v>
      </c>
      <c r="W44">
        <v>0.2</v>
      </c>
      <c r="X44">
        <v>0.2</v>
      </c>
      <c r="Y44">
        <v>0.2</v>
      </c>
      <c r="Z44">
        <v>0.2</v>
      </c>
      <c r="AA44">
        <v>0.2</v>
      </c>
      <c r="AB44">
        <v>0.05</v>
      </c>
      <c r="AC44">
        <v>0.05</v>
      </c>
      <c r="AD44">
        <v>0.05</v>
      </c>
    </row>
    <row r="45" spans="1:30" x14ac:dyDescent="0.3">
      <c r="A45" t="str">
        <v>Cost Controls</v>
      </c>
      <c r="B45" t="str">
        <v>Gas</v>
      </c>
      <c r="C45" t="str">
        <v>Project Controls</v>
      </c>
      <c r="D45">
        <v>0.2</v>
      </c>
      <c r="E45">
        <v>0.2</v>
      </c>
      <c r="F45">
        <v>0.2</v>
      </c>
      <c r="G45">
        <v>0.2</v>
      </c>
      <c r="H45">
        <v>0.2</v>
      </c>
      <c r="I45">
        <v>0.2</v>
      </c>
      <c r="J45">
        <v>0.45</v>
      </c>
      <c r="K45">
        <v>0.45</v>
      </c>
      <c r="L45">
        <v>0.45</v>
      </c>
      <c r="M45">
        <v>0.45</v>
      </c>
      <c r="N45">
        <v>0.45</v>
      </c>
      <c r="O45">
        <v>0.45</v>
      </c>
      <c r="P45">
        <v>0.45</v>
      </c>
      <c r="Q45">
        <v>0.45</v>
      </c>
      <c r="R45">
        <v>0.45</v>
      </c>
      <c r="S45">
        <v>0.45</v>
      </c>
      <c r="T45">
        <v>0.45</v>
      </c>
      <c r="U45">
        <v>0.45</v>
      </c>
      <c r="V45">
        <v>0.45</v>
      </c>
      <c r="W45">
        <v>0.45</v>
      </c>
      <c r="X45">
        <v>0.45</v>
      </c>
      <c r="Y45">
        <v>0.45</v>
      </c>
      <c r="Z45">
        <v>0.45</v>
      </c>
      <c r="AA45">
        <v>0.45</v>
      </c>
      <c r="AB45">
        <v>0.15</v>
      </c>
      <c r="AC45">
        <v>0.15</v>
      </c>
      <c r="AD45">
        <v>0.15</v>
      </c>
    </row>
    <row r="46" spans="1:30" x14ac:dyDescent="0.3">
      <c r="A46" t="str">
        <v>Project Manager</v>
      </c>
      <c r="B46" t="str">
        <v>Thermal</v>
      </c>
      <c r="C46" t="str">
        <v>Project Management</v>
      </c>
      <c r="D46">
        <v>0.25</v>
      </c>
      <c r="E46">
        <v>0.25</v>
      </c>
      <c r="F46">
        <v>0.25</v>
      </c>
      <c r="G46">
        <v>0.45</v>
      </c>
      <c r="H46">
        <v>0.45</v>
      </c>
      <c r="I46">
        <v>0.45</v>
      </c>
      <c r="J46">
        <v>0.65</v>
      </c>
      <c r="K46">
        <v>0.65</v>
      </c>
      <c r="L46">
        <v>0.65</v>
      </c>
      <c r="M46">
        <v>0.85</v>
      </c>
      <c r="N46">
        <v>0.85</v>
      </c>
      <c r="O46">
        <v>0.85</v>
      </c>
      <c r="P46">
        <v>0.85</v>
      </c>
      <c r="Q46">
        <v>0.85</v>
      </c>
      <c r="R46">
        <v>0.85</v>
      </c>
      <c r="S46">
        <v>0.85</v>
      </c>
      <c r="T46">
        <v>0.85</v>
      </c>
      <c r="U46">
        <v>0.85</v>
      </c>
      <c r="V46">
        <v>0.85</v>
      </c>
      <c r="W46">
        <v>0.85</v>
      </c>
      <c r="X46">
        <v>0.85</v>
      </c>
      <c r="Y46">
        <v>0.85</v>
      </c>
      <c r="Z46">
        <v>0.85</v>
      </c>
      <c r="AA46">
        <v>0.85</v>
      </c>
      <c r="AB46">
        <v>0.5</v>
      </c>
      <c r="AC46">
        <v>0.4</v>
      </c>
      <c r="AD46">
        <v>0.25</v>
      </c>
    </row>
    <row r="47" spans="1:30" x14ac:dyDescent="0.3">
      <c r="A47" t="str">
        <v>Project Engineer</v>
      </c>
      <c r="B47" t="str">
        <v>Thermal</v>
      </c>
      <c r="C47" t="str">
        <v>Project Management</v>
      </c>
      <c r="D47">
        <v>0.05</v>
      </c>
      <c r="E47">
        <v>0.05</v>
      </c>
      <c r="F47">
        <v>0.05</v>
      </c>
      <c r="G47">
        <v>0.05</v>
      </c>
      <c r="H47">
        <v>0.05</v>
      </c>
      <c r="I47">
        <v>0.05</v>
      </c>
      <c r="J47">
        <v>0.05</v>
      </c>
      <c r="K47">
        <v>0.05</v>
      </c>
      <c r="L47">
        <v>0.05</v>
      </c>
      <c r="M47">
        <v>0.05</v>
      </c>
      <c r="N47">
        <v>0.05</v>
      </c>
      <c r="O47">
        <v>0.05</v>
      </c>
      <c r="P47">
        <v>0.05</v>
      </c>
      <c r="Q47">
        <v>0.05</v>
      </c>
      <c r="R47">
        <v>0.05</v>
      </c>
      <c r="S47">
        <v>0.05</v>
      </c>
      <c r="T47">
        <v>0.05</v>
      </c>
      <c r="U47">
        <v>0.05</v>
      </c>
      <c r="V47">
        <v>0.05</v>
      </c>
      <c r="W47">
        <v>0.05</v>
      </c>
      <c r="X47">
        <v>0.05</v>
      </c>
      <c r="Y47">
        <v>0.05</v>
      </c>
      <c r="Z47">
        <v>0.05</v>
      </c>
      <c r="AA47">
        <v>0.05</v>
      </c>
      <c r="AB47">
        <v>0.05</v>
      </c>
      <c r="AC47">
        <v>0.05</v>
      </c>
      <c r="AD47">
        <v>0.05</v>
      </c>
    </row>
    <row r="48" spans="1:30" x14ac:dyDescent="0.3">
      <c r="A48" t="str">
        <v>Project Coordinator</v>
      </c>
      <c r="B48" t="str">
        <v>Thermal</v>
      </c>
      <c r="C48" t="str">
        <v>Project Management</v>
      </c>
      <c r="D48">
        <v>0.05</v>
      </c>
      <c r="E48">
        <v>0.05</v>
      </c>
      <c r="F48">
        <v>0.1</v>
      </c>
      <c r="G48">
        <v>0.1</v>
      </c>
      <c r="H48">
        <v>0.15</v>
      </c>
      <c r="I48">
        <v>0.15</v>
      </c>
      <c r="J48">
        <v>0.25</v>
      </c>
      <c r="K48">
        <v>0.25</v>
      </c>
      <c r="L48">
        <v>0.25</v>
      </c>
      <c r="M48">
        <v>0.25</v>
      </c>
      <c r="N48">
        <v>0.25</v>
      </c>
      <c r="O48">
        <v>0.25</v>
      </c>
      <c r="P48">
        <v>0.25</v>
      </c>
      <c r="Q48">
        <v>0.25</v>
      </c>
      <c r="R48">
        <v>0.25</v>
      </c>
      <c r="S48">
        <v>0.25</v>
      </c>
      <c r="T48">
        <v>0.25</v>
      </c>
      <c r="U48">
        <v>0.25</v>
      </c>
      <c r="V48">
        <v>0.25</v>
      </c>
      <c r="W48">
        <v>0.25</v>
      </c>
      <c r="X48">
        <v>0.25</v>
      </c>
      <c r="Y48">
        <v>0.25</v>
      </c>
      <c r="Z48">
        <v>0.25</v>
      </c>
      <c r="AA48">
        <v>0.25</v>
      </c>
      <c r="AB48">
        <v>0.25</v>
      </c>
      <c r="AC48">
        <v>0.25</v>
      </c>
      <c r="AD48">
        <v>0.25</v>
      </c>
    </row>
    <row r="49" spans="1:30" x14ac:dyDescent="0.3">
      <c r="A49" t="str">
        <v>Civil Engineer</v>
      </c>
      <c r="B49" t="str">
        <v>Thermal</v>
      </c>
      <c r="C49" t="str">
        <v xml:space="preserve">Engineering </v>
      </c>
      <c r="D49">
        <v>0.05</v>
      </c>
      <c r="E49">
        <v>0.05</v>
      </c>
      <c r="F49">
        <v>0.05</v>
      </c>
      <c r="G49">
        <v>0.05</v>
      </c>
      <c r="H49">
        <v>0.05</v>
      </c>
      <c r="I49">
        <v>0.05</v>
      </c>
      <c r="J49">
        <v>0.1</v>
      </c>
      <c r="K49">
        <v>0.1</v>
      </c>
      <c r="L49">
        <v>0.1</v>
      </c>
      <c r="M49">
        <v>0.1</v>
      </c>
      <c r="N49">
        <v>0.1</v>
      </c>
      <c r="O49">
        <v>0.1</v>
      </c>
      <c r="P49">
        <v>0.1</v>
      </c>
      <c r="Q49">
        <v>0.1</v>
      </c>
      <c r="R49">
        <v>0.1</v>
      </c>
      <c r="S49">
        <v>0.1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0.05</v>
      </c>
      <c r="AC49">
        <v>0.05</v>
      </c>
      <c r="AD49">
        <v>0</v>
      </c>
    </row>
    <row r="50" spans="1:30" x14ac:dyDescent="0.3">
      <c r="A50" t="str">
        <v>I&amp;C Engineer</v>
      </c>
      <c r="B50" t="str">
        <v>Thermal</v>
      </c>
      <c r="C50" t="str">
        <v xml:space="preserve">Engineering </v>
      </c>
      <c r="D50">
        <v>0.05</v>
      </c>
      <c r="E50">
        <v>0.05</v>
      </c>
      <c r="F50">
        <v>0.05</v>
      </c>
      <c r="G50">
        <v>0.05</v>
      </c>
      <c r="H50">
        <v>0.05</v>
      </c>
      <c r="I50">
        <v>0.05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0.05</v>
      </c>
      <c r="AC50">
        <v>0.05</v>
      </c>
      <c r="AD50">
        <v>0</v>
      </c>
    </row>
    <row r="51" spans="1:30" x14ac:dyDescent="0.3">
      <c r="A51" t="str">
        <v>Electrical Engineer</v>
      </c>
      <c r="B51" t="str">
        <v>Thermal</v>
      </c>
      <c r="C51" t="str">
        <v xml:space="preserve">Engineering </v>
      </c>
      <c r="D51">
        <v>0.05</v>
      </c>
      <c r="E51">
        <v>0.05</v>
      </c>
      <c r="F51">
        <v>0.05</v>
      </c>
      <c r="G51">
        <v>0.05</v>
      </c>
      <c r="H51">
        <v>0.05</v>
      </c>
      <c r="I51">
        <v>0.05</v>
      </c>
      <c r="J51">
        <v>0.1</v>
      </c>
      <c r="K51">
        <v>0.1</v>
      </c>
      <c r="L51">
        <v>0.1</v>
      </c>
      <c r="M51">
        <v>0.1</v>
      </c>
      <c r="N51">
        <v>0.1</v>
      </c>
      <c r="O51">
        <v>0.1</v>
      </c>
      <c r="P51">
        <v>0.1</v>
      </c>
      <c r="Q51">
        <v>0.1</v>
      </c>
      <c r="R51">
        <v>0.1</v>
      </c>
      <c r="S51">
        <v>0.1</v>
      </c>
      <c r="T51">
        <v>0.1</v>
      </c>
      <c r="U51">
        <v>0.1</v>
      </c>
      <c r="V51">
        <v>0.1</v>
      </c>
      <c r="W51">
        <v>0.1</v>
      </c>
      <c r="X51">
        <v>0.1</v>
      </c>
      <c r="Y51">
        <v>0.1</v>
      </c>
      <c r="Z51">
        <v>0.1</v>
      </c>
      <c r="AA51">
        <v>0.1</v>
      </c>
      <c r="AB51">
        <v>0.05</v>
      </c>
      <c r="AC51">
        <v>0.05</v>
      </c>
      <c r="AD51">
        <v>0</v>
      </c>
    </row>
    <row r="52" spans="1:30" x14ac:dyDescent="0.3">
      <c r="A52" t="str">
        <v>Mechanical Engineer</v>
      </c>
      <c r="B52" t="str">
        <v>Thermal</v>
      </c>
      <c r="C52" t="str">
        <v xml:space="preserve">Engineering </v>
      </c>
      <c r="D52">
        <v>0.05</v>
      </c>
      <c r="E52">
        <v>0.05</v>
      </c>
      <c r="F52">
        <v>0.05</v>
      </c>
      <c r="G52">
        <v>0.05</v>
      </c>
      <c r="H52">
        <v>0.05</v>
      </c>
      <c r="I52">
        <v>0.05</v>
      </c>
      <c r="J52">
        <v>0.1</v>
      </c>
      <c r="K52">
        <v>0.1</v>
      </c>
      <c r="L52">
        <v>0.1</v>
      </c>
      <c r="M52">
        <v>0.1</v>
      </c>
      <c r="N52">
        <v>0.1</v>
      </c>
      <c r="O52">
        <v>0.1</v>
      </c>
      <c r="P52">
        <v>0.1</v>
      </c>
      <c r="Q52">
        <v>0.1</v>
      </c>
      <c r="R52">
        <v>0.1</v>
      </c>
      <c r="S52">
        <v>0.1</v>
      </c>
      <c r="T52">
        <v>0.1</v>
      </c>
      <c r="U52">
        <v>0.1</v>
      </c>
      <c r="V52">
        <v>0.1</v>
      </c>
      <c r="W52">
        <v>0.1</v>
      </c>
      <c r="X52">
        <v>0.1</v>
      </c>
      <c r="Y52">
        <v>0.1</v>
      </c>
      <c r="Z52">
        <v>0.1</v>
      </c>
      <c r="AA52">
        <v>0.1</v>
      </c>
      <c r="AB52">
        <v>0.05</v>
      </c>
      <c r="AC52">
        <v>0.05</v>
      </c>
      <c r="AD52">
        <v>0</v>
      </c>
    </row>
    <row r="53" spans="1:30" x14ac:dyDescent="0.3">
      <c r="A53" t="str">
        <v>Structural Engineer</v>
      </c>
      <c r="B53" t="str">
        <v>Thermal</v>
      </c>
      <c r="C53" t="str">
        <v xml:space="preserve">Engineering </v>
      </c>
      <c r="D53">
        <v>0.05</v>
      </c>
      <c r="E53">
        <v>0.05</v>
      </c>
      <c r="F53">
        <v>0.05</v>
      </c>
      <c r="G53">
        <v>0.05</v>
      </c>
      <c r="H53">
        <v>0.05</v>
      </c>
      <c r="I53">
        <v>0.05</v>
      </c>
      <c r="J53">
        <v>0.1</v>
      </c>
      <c r="K53">
        <v>0.1</v>
      </c>
      <c r="L53">
        <v>0.1</v>
      </c>
      <c r="M53">
        <v>0.1</v>
      </c>
      <c r="N53">
        <v>0.1</v>
      </c>
      <c r="O53">
        <v>0.1</v>
      </c>
      <c r="P53">
        <v>0.1</v>
      </c>
      <c r="Q53">
        <v>0.1</v>
      </c>
      <c r="R53">
        <v>0.1</v>
      </c>
      <c r="S53">
        <v>0.1</v>
      </c>
      <c r="T53">
        <v>0.1</v>
      </c>
      <c r="U53">
        <v>0.1</v>
      </c>
      <c r="V53">
        <v>0.1</v>
      </c>
      <c r="W53">
        <v>0.1</v>
      </c>
      <c r="X53">
        <v>0.1</v>
      </c>
      <c r="Y53">
        <v>0.1</v>
      </c>
      <c r="Z53">
        <v>0.1</v>
      </c>
      <c r="AA53">
        <v>0.1</v>
      </c>
      <c r="AB53">
        <v>0.05</v>
      </c>
      <c r="AC53">
        <v>0.05</v>
      </c>
      <c r="AD53">
        <v>0</v>
      </c>
    </row>
    <row r="54" spans="1:30" x14ac:dyDescent="0.3">
      <c r="A54" t="str">
        <v>Construction Manager</v>
      </c>
      <c r="B54" t="str">
        <v>Thermal</v>
      </c>
      <c r="C54" t="str">
        <v>Construction Monitoring</v>
      </c>
      <c r="D54">
        <v>0</v>
      </c>
      <c r="E54">
        <v>0</v>
      </c>
      <c r="F54">
        <v>0</v>
      </c>
      <c r="G54">
        <v>0.25</v>
      </c>
      <c r="H54">
        <v>0.25</v>
      </c>
      <c r="I54">
        <v>0.25</v>
      </c>
      <c r="J54">
        <v>0.5</v>
      </c>
      <c r="K54">
        <v>0.5</v>
      </c>
      <c r="L54">
        <v>0.5</v>
      </c>
      <c r="M54">
        <v>0.75</v>
      </c>
      <c r="N54">
        <v>0.75</v>
      </c>
      <c r="O54">
        <v>0.75</v>
      </c>
      <c r="P54">
        <v>0.75</v>
      </c>
      <c r="Q54">
        <v>0.75</v>
      </c>
      <c r="R54">
        <v>0.75</v>
      </c>
      <c r="S54">
        <v>0.75</v>
      </c>
      <c r="T54">
        <v>0.75</v>
      </c>
      <c r="U54">
        <v>0.75</v>
      </c>
      <c r="V54">
        <v>0.75</v>
      </c>
      <c r="W54">
        <v>0.75</v>
      </c>
      <c r="X54">
        <v>0.75</v>
      </c>
      <c r="Y54">
        <v>0.75</v>
      </c>
      <c r="Z54">
        <v>0.75</v>
      </c>
      <c r="AA54">
        <v>0.75</v>
      </c>
      <c r="AB54">
        <v>0.5</v>
      </c>
      <c r="AC54">
        <v>0.4</v>
      </c>
      <c r="AD54">
        <v>0.25</v>
      </c>
    </row>
    <row r="55" spans="1:30" x14ac:dyDescent="0.3">
      <c r="A55" t="str">
        <v>H&amp;S Field</v>
      </c>
      <c r="B55" t="str">
        <v>Thermal</v>
      </c>
      <c r="C55" t="str">
        <v>Construction Monitoring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0.5</v>
      </c>
      <c r="Q55">
        <v>0.5</v>
      </c>
      <c r="R55">
        <v>0.5</v>
      </c>
      <c r="S55">
        <v>0.5</v>
      </c>
      <c r="T55">
        <v>0.5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0.25</v>
      </c>
      <c r="AC55">
        <v>0.15</v>
      </c>
      <c r="AD55">
        <v>0</v>
      </c>
    </row>
    <row r="56" spans="1:30" x14ac:dyDescent="0.3">
      <c r="A56" t="str">
        <v>Estimator</v>
      </c>
      <c r="B56" t="str">
        <v>Thermal</v>
      </c>
      <c r="C56" t="str">
        <v>Project Controls</v>
      </c>
      <c r="D56">
        <v>0.1</v>
      </c>
      <c r="E56">
        <v>0.1</v>
      </c>
      <c r="F56">
        <v>0.1</v>
      </c>
      <c r="G56">
        <v>0.1</v>
      </c>
      <c r="H56">
        <v>0.1</v>
      </c>
      <c r="I56">
        <v>0.1</v>
      </c>
      <c r="J56">
        <v>0.1</v>
      </c>
      <c r="K56">
        <v>0.1</v>
      </c>
      <c r="L56">
        <v>0.1</v>
      </c>
      <c r="M56">
        <v>0.1</v>
      </c>
      <c r="N56">
        <v>0.1</v>
      </c>
      <c r="O56">
        <v>0.1</v>
      </c>
      <c r="P56">
        <v>0.1</v>
      </c>
      <c r="Q56">
        <v>0.1</v>
      </c>
      <c r="R56">
        <v>0.1</v>
      </c>
      <c r="S56">
        <v>0.1</v>
      </c>
      <c r="T56">
        <v>0.1</v>
      </c>
      <c r="U56">
        <v>0.1</v>
      </c>
      <c r="V56">
        <v>0.1</v>
      </c>
      <c r="W56">
        <v>0.1</v>
      </c>
      <c r="X56">
        <v>0.1</v>
      </c>
      <c r="Y56">
        <v>0.1</v>
      </c>
      <c r="Z56">
        <v>0.1</v>
      </c>
      <c r="AA56">
        <v>0.1</v>
      </c>
      <c r="AB56">
        <v>0.1</v>
      </c>
      <c r="AC56">
        <v>0.1</v>
      </c>
      <c r="AD56">
        <v>0.1</v>
      </c>
    </row>
    <row r="57" spans="1:30" x14ac:dyDescent="0.3">
      <c r="A57" t="str">
        <v>Risk Analyst</v>
      </c>
      <c r="B57" t="str">
        <v>Thermal</v>
      </c>
      <c r="C57" t="str">
        <v>Project Controls</v>
      </c>
      <c r="D57">
        <v>0.05</v>
      </c>
      <c r="E57">
        <v>0.05</v>
      </c>
      <c r="F57">
        <v>0.05</v>
      </c>
      <c r="G57">
        <v>0.05</v>
      </c>
      <c r="H57">
        <v>0.05</v>
      </c>
      <c r="I57">
        <v>0.05</v>
      </c>
      <c r="J57">
        <v>0.05</v>
      </c>
      <c r="K57">
        <v>0.05</v>
      </c>
      <c r="L57">
        <v>0.05</v>
      </c>
      <c r="M57">
        <v>0.05</v>
      </c>
      <c r="N57">
        <v>0.05</v>
      </c>
      <c r="O57">
        <v>0.05</v>
      </c>
      <c r="P57">
        <v>0.05</v>
      </c>
      <c r="Q57">
        <v>0.05</v>
      </c>
      <c r="R57">
        <v>0.05</v>
      </c>
      <c r="S57">
        <v>0.05</v>
      </c>
      <c r="T57">
        <v>0.05</v>
      </c>
      <c r="U57">
        <v>0.05</v>
      </c>
      <c r="V57">
        <v>0.05</v>
      </c>
      <c r="W57">
        <v>0.05</v>
      </c>
      <c r="X57">
        <v>0.05</v>
      </c>
      <c r="Y57">
        <v>0.05</v>
      </c>
      <c r="Z57">
        <v>0.05</v>
      </c>
      <c r="AA57">
        <v>0.05</v>
      </c>
      <c r="AB57">
        <v>0.05</v>
      </c>
      <c r="AC57">
        <v>0</v>
      </c>
      <c r="AD57">
        <v>0</v>
      </c>
    </row>
    <row r="58" spans="1:30" x14ac:dyDescent="0.3">
      <c r="A58" t="str">
        <v>Document Control Specialist</v>
      </c>
      <c r="B58" t="str">
        <v>Thermal</v>
      </c>
      <c r="C58" t="str">
        <v>Project Controls</v>
      </c>
      <c r="D58">
        <v>0.15</v>
      </c>
      <c r="E58">
        <v>0.15</v>
      </c>
      <c r="F58">
        <v>0.15</v>
      </c>
      <c r="G58">
        <v>0.15</v>
      </c>
      <c r="H58">
        <v>0.15</v>
      </c>
      <c r="I58">
        <v>0.15</v>
      </c>
      <c r="J58">
        <v>0.15</v>
      </c>
      <c r="K58">
        <v>0.15</v>
      </c>
      <c r="L58">
        <v>0.15</v>
      </c>
      <c r="M58">
        <v>0.15</v>
      </c>
      <c r="N58">
        <v>0.15</v>
      </c>
      <c r="O58">
        <v>0.15</v>
      </c>
      <c r="P58">
        <v>0.15</v>
      </c>
      <c r="Q58">
        <v>0.15</v>
      </c>
      <c r="R58">
        <v>0.15</v>
      </c>
      <c r="S58">
        <v>0.15</v>
      </c>
      <c r="T58">
        <v>0.15</v>
      </c>
      <c r="U58">
        <v>0.15</v>
      </c>
      <c r="V58">
        <v>0.15</v>
      </c>
      <c r="W58">
        <v>0.15</v>
      </c>
      <c r="X58">
        <v>0.15</v>
      </c>
      <c r="Y58">
        <v>0.15</v>
      </c>
      <c r="Z58">
        <v>0.15</v>
      </c>
      <c r="AA58">
        <v>0.15</v>
      </c>
      <c r="AB58">
        <v>0.15</v>
      </c>
      <c r="AC58">
        <v>0.15</v>
      </c>
      <c r="AD58">
        <v>0.15</v>
      </c>
    </row>
    <row r="59" spans="1:30" x14ac:dyDescent="0.3">
      <c r="A59" t="str">
        <v>Scheduler</v>
      </c>
      <c r="B59" t="str">
        <v>Thermal</v>
      </c>
      <c r="C59" t="str">
        <v>Project Controls</v>
      </c>
      <c r="D59">
        <v>0.1</v>
      </c>
      <c r="E59">
        <v>0.1</v>
      </c>
      <c r="F59">
        <v>0.1</v>
      </c>
      <c r="G59">
        <v>0.1</v>
      </c>
      <c r="H59">
        <v>0.1</v>
      </c>
      <c r="I59">
        <v>0.1</v>
      </c>
      <c r="J59">
        <v>0.1</v>
      </c>
      <c r="K59">
        <v>0.1</v>
      </c>
      <c r="L59">
        <v>0.1</v>
      </c>
      <c r="M59">
        <v>0.1</v>
      </c>
      <c r="N59">
        <v>0.1</v>
      </c>
      <c r="O59">
        <v>0.1</v>
      </c>
      <c r="P59">
        <v>0.1</v>
      </c>
      <c r="Q59">
        <v>0.1</v>
      </c>
      <c r="R59">
        <v>0.1</v>
      </c>
      <c r="S59">
        <v>0.1</v>
      </c>
      <c r="T59">
        <v>0.1</v>
      </c>
      <c r="U59">
        <v>0.1</v>
      </c>
      <c r="V59">
        <v>0.1</v>
      </c>
      <c r="W59">
        <v>0.1</v>
      </c>
      <c r="X59">
        <v>0.1</v>
      </c>
      <c r="Y59">
        <v>0.1</v>
      </c>
      <c r="Z59">
        <v>0.1</v>
      </c>
      <c r="AA59">
        <v>0.1</v>
      </c>
      <c r="AB59">
        <v>0.1</v>
      </c>
      <c r="AC59">
        <v>0.1</v>
      </c>
      <c r="AD59">
        <v>0.1</v>
      </c>
    </row>
    <row r="60" spans="1:30" x14ac:dyDescent="0.3">
      <c r="A60" t="str">
        <v>Cost Controls</v>
      </c>
      <c r="B60" t="str">
        <v>Thermal</v>
      </c>
      <c r="C60" t="str">
        <v>Project Controls</v>
      </c>
      <c r="D60">
        <v>0.1</v>
      </c>
      <c r="E60">
        <v>0.1</v>
      </c>
      <c r="F60">
        <v>0.1</v>
      </c>
      <c r="G60">
        <v>0.1</v>
      </c>
      <c r="H60">
        <v>0.1</v>
      </c>
      <c r="I60">
        <v>0.1</v>
      </c>
      <c r="J60">
        <v>0.1</v>
      </c>
      <c r="K60">
        <v>0.1</v>
      </c>
      <c r="L60">
        <v>0.1</v>
      </c>
      <c r="M60">
        <v>0.1</v>
      </c>
      <c r="N60">
        <v>0.1</v>
      </c>
      <c r="O60">
        <v>0.1</v>
      </c>
      <c r="P60">
        <v>0.1</v>
      </c>
      <c r="Q60">
        <v>0.1</v>
      </c>
      <c r="R60">
        <v>0.1</v>
      </c>
      <c r="S60">
        <v>0.1</v>
      </c>
      <c r="T60">
        <v>0.1</v>
      </c>
      <c r="U60">
        <v>0.1</v>
      </c>
      <c r="V60">
        <v>0.1</v>
      </c>
      <c r="W60">
        <v>0.1</v>
      </c>
      <c r="X60">
        <v>0.1</v>
      </c>
      <c r="Y60">
        <v>0.1</v>
      </c>
      <c r="Z60">
        <v>0.1</v>
      </c>
      <c r="AA60">
        <v>0.1</v>
      </c>
      <c r="AB60">
        <v>0.1</v>
      </c>
      <c r="AC60">
        <v>0.1</v>
      </c>
      <c r="AD60">
        <v>0.1</v>
      </c>
    </row>
    <row r="61" spans="1:30" x14ac:dyDescent="0.3">
      <c r="A61" t="str">
        <v>Project Manager</v>
      </c>
      <c r="B61" t="str">
        <v>Wind</v>
      </c>
      <c r="C61" t="str">
        <v>Project Management</v>
      </c>
      <c r="D61">
        <v>0.25</v>
      </c>
      <c r="E61">
        <v>0.25</v>
      </c>
      <c r="F61">
        <v>0.25</v>
      </c>
      <c r="G61">
        <v>0.45</v>
      </c>
      <c r="H61">
        <v>0.45</v>
      </c>
      <c r="I61">
        <v>0.45</v>
      </c>
      <c r="J61">
        <v>0.65</v>
      </c>
      <c r="K61">
        <v>0.65</v>
      </c>
      <c r="L61">
        <v>0.65</v>
      </c>
      <c r="M61">
        <v>0.85</v>
      </c>
      <c r="N61">
        <v>0.85</v>
      </c>
      <c r="O61">
        <v>0.85</v>
      </c>
      <c r="P61">
        <v>0.85</v>
      </c>
      <c r="Q61">
        <v>0.85</v>
      </c>
      <c r="R61">
        <v>0.85</v>
      </c>
      <c r="S61">
        <v>0.85</v>
      </c>
      <c r="T61">
        <v>0.85</v>
      </c>
      <c r="U61">
        <v>0.85</v>
      </c>
      <c r="V61">
        <v>0.85</v>
      </c>
      <c r="W61">
        <v>0.85</v>
      </c>
      <c r="X61">
        <v>0.85</v>
      </c>
      <c r="Y61">
        <v>0.85</v>
      </c>
      <c r="Z61">
        <v>0.85</v>
      </c>
      <c r="AA61">
        <v>0.85</v>
      </c>
      <c r="AB61">
        <v>0.5</v>
      </c>
      <c r="AC61">
        <v>0.4</v>
      </c>
      <c r="AD61">
        <v>0.25</v>
      </c>
    </row>
    <row r="62" spans="1:30" x14ac:dyDescent="0.3">
      <c r="A62" t="str">
        <v>Project Engineer</v>
      </c>
      <c r="B62" t="str">
        <v>Wind</v>
      </c>
      <c r="C62" t="str">
        <v>Project Management</v>
      </c>
      <c r="D62">
        <v>0.05</v>
      </c>
      <c r="E62">
        <v>0.05</v>
      </c>
      <c r="F62">
        <v>0.05</v>
      </c>
      <c r="G62">
        <v>0.05</v>
      </c>
      <c r="H62">
        <v>0.05</v>
      </c>
      <c r="I62">
        <v>0.05</v>
      </c>
      <c r="J62">
        <v>0.05</v>
      </c>
      <c r="K62">
        <v>0.05</v>
      </c>
      <c r="L62">
        <v>0.05</v>
      </c>
      <c r="M62">
        <v>0.05</v>
      </c>
      <c r="N62">
        <v>0.05</v>
      </c>
      <c r="O62">
        <v>0.05</v>
      </c>
      <c r="P62">
        <v>0.05</v>
      </c>
      <c r="Q62">
        <v>0.05</v>
      </c>
      <c r="R62">
        <v>0.05</v>
      </c>
      <c r="S62">
        <v>0.05</v>
      </c>
      <c r="T62">
        <v>0.05</v>
      </c>
      <c r="U62">
        <v>0.05</v>
      </c>
      <c r="V62">
        <v>0.05</v>
      </c>
      <c r="W62">
        <v>0.05</v>
      </c>
      <c r="X62">
        <v>0.05</v>
      </c>
      <c r="Y62">
        <v>0.05</v>
      </c>
      <c r="Z62">
        <v>0.05</v>
      </c>
      <c r="AA62">
        <v>0.05</v>
      </c>
      <c r="AB62">
        <v>0.05</v>
      </c>
      <c r="AC62">
        <v>0.05</v>
      </c>
      <c r="AD62">
        <v>0.05</v>
      </c>
    </row>
    <row r="63" spans="1:30" x14ac:dyDescent="0.3">
      <c r="A63" t="str">
        <v>Project Coordinator</v>
      </c>
      <c r="B63" t="str">
        <v>Wind</v>
      </c>
      <c r="C63" t="str">
        <v>Project Management</v>
      </c>
      <c r="D63">
        <v>0.05</v>
      </c>
      <c r="E63">
        <v>0.05</v>
      </c>
      <c r="F63">
        <v>0.1</v>
      </c>
      <c r="G63">
        <v>0.1</v>
      </c>
      <c r="H63">
        <v>0.15</v>
      </c>
      <c r="I63">
        <v>0.15</v>
      </c>
      <c r="J63">
        <v>0.25</v>
      </c>
      <c r="K63">
        <v>0.25</v>
      </c>
      <c r="L63">
        <v>0.25</v>
      </c>
      <c r="M63">
        <v>0.25</v>
      </c>
      <c r="N63">
        <v>0.25</v>
      </c>
      <c r="O63">
        <v>0.25</v>
      </c>
      <c r="P63">
        <v>0.25</v>
      </c>
      <c r="Q63">
        <v>0.25</v>
      </c>
      <c r="R63">
        <v>0.25</v>
      </c>
      <c r="S63">
        <v>0.25</v>
      </c>
      <c r="T63">
        <v>0.25</v>
      </c>
      <c r="U63">
        <v>0.25</v>
      </c>
      <c r="V63">
        <v>0.25</v>
      </c>
      <c r="W63">
        <v>0.25</v>
      </c>
      <c r="X63">
        <v>0.25</v>
      </c>
      <c r="Y63">
        <v>0.25</v>
      </c>
      <c r="Z63">
        <v>0.25</v>
      </c>
      <c r="AA63">
        <v>0.25</v>
      </c>
      <c r="AB63">
        <v>0.25</v>
      </c>
      <c r="AC63">
        <v>0.25</v>
      </c>
      <c r="AD63">
        <v>0.25</v>
      </c>
    </row>
    <row r="64" spans="1:30" x14ac:dyDescent="0.3">
      <c r="A64" t="str">
        <v>Civil Engineer</v>
      </c>
      <c r="B64" t="str">
        <v>Wind</v>
      </c>
      <c r="C64" t="str">
        <v xml:space="preserve">Engineering </v>
      </c>
      <c r="D64">
        <v>0.05</v>
      </c>
      <c r="E64">
        <v>0.05</v>
      </c>
      <c r="F64">
        <v>0.05</v>
      </c>
      <c r="G64">
        <v>0.05</v>
      </c>
      <c r="H64">
        <v>0.05</v>
      </c>
      <c r="I64">
        <v>0.05</v>
      </c>
      <c r="J64">
        <v>0.1</v>
      </c>
      <c r="K64">
        <v>0.1</v>
      </c>
      <c r="L64">
        <v>0.1</v>
      </c>
      <c r="M64">
        <v>0.1</v>
      </c>
      <c r="N64">
        <v>0.1</v>
      </c>
      <c r="O64">
        <v>0.1</v>
      </c>
      <c r="P64">
        <v>0.1</v>
      </c>
      <c r="Q64">
        <v>0.1</v>
      </c>
      <c r="R64">
        <v>0.1</v>
      </c>
      <c r="S64">
        <v>0.1</v>
      </c>
      <c r="T64">
        <v>0.1</v>
      </c>
      <c r="U64">
        <v>0.1</v>
      </c>
      <c r="V64">
        <v>0.1</v>
      </c>
      <c r="W64">
        <v>0.1</v>
      </c>
      <c r="X64">
        <v>0.1</v>
      </c>
      <c r="Y64">
        <v>0.1</v>
      </c>
      <c r="Z64">
        <v>0.1</v>
      </c>
      <c r="AA64">
        <v>0.1</v>
      </c>
      <c r="AB64">
        <v>0.05</v>
      </c>
      <c r="AC64">
        <v>0.05</v>
      </c>
      <c r="AD64">
        <v>0</v>
      </c>
    </row>
    <row r="65" spans="1:30" x14ac:dyDescent="0.3">
      <c r="A65" t="str">
        <v>I&amp;C Engineer</v>
      </c>
      <c r="B65" t="str">
        <v>Wind</v>
      </c>
      <c r="C65" t="str">
        <v xml:space="preserve">Engineering </v>
      </c>
      <c r="D65">
        <v>0.05</v>
      </c>
      <c r="E65">
        <v>0.05</v>
      </c>
      <c r="F65">
        <v>0.05</v>
      </c>
      <c r="G65">
        <v>0.05</v>
      </c>
      <c r="H65">
        <v>0.05</v>
      </c>
      <c r="I65">
        <v>0.05</v>
      </c>
      <c r="J65">
        <v>0.1</v>
      </c>
      <c r="K65">
        <v>0.1</v>
      </c>
      <c r="L65">
        <v>0.1</v>
      </c>
      <c r="M65">
        <v>0.1</v>
      </c>
      <c r="N65">
        <v>0.1</v>
      </c>
      <c r="O65">
        <v>0.1</v>
      </c>
      <c r="P65">
        <v>0.1</v>
      </c>
      <c r="Q65">
        <v>0.1</v>
      </c>
      <c r="R65">
        <v>0.1</v>
      </c>
      <c r="S65">
        <v>0.1</v>
      </c>
      <c r="T65">
        <v>0.1</v>
      </c>
      <c r="U65">
        <v>0.1</v>
      </c>
      <c r="V65">
        <v>0.1</v>
      </c>
      <c r="W65">
        <v>0.1</v>
      </c>
      <c r="X65">
        <v>0.1</v>
      </c>
      <c r="Y65">
        <v>0.1</v>
      </c>
      <c r="Z65">
        <v>0.1</v>
      </c>
      <c r="AA65">
        <v>0.1</v>
      </c>
      <c r="AB65">
        <v>0.05</v>
      </c>
      <c r="AC65">
        <v>0.05</v>
      </c>
      <c r="AD65">
        <v>0</v>
      </c>
    </row>
    <row r="66" spans="1:30" x14ac:dyDescent="0.3">
      <c r="A66" t="str">
        <v>Electrical Engineer</v>
      </c>
      <c r="B66" t="str">
        <v>Wind</v>
      </c>
      <c r="C66" t="str">
        <v xml:space="preserve">Engineering </v>
      </c>
      <c r="D66">
        <v>0.05</v>
      </c>
      <c r="E66">
        <v>0.05</v>
      </c>
      <c r="F66">
        <v>0.05</v>
      </c>
      <c r="G66">
        <v>0.05</v>
      </c>
      <c r="H66">
        <v>0.05</v>
      </c>
      <c r="I66">
        <v>0.05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0.05</v>
      </c>
      <c r="AC66">
        <v>0.05</v>
      </c>
      <c r="AD66">
        <v>0</v>
      </c>
    </row>
    <row r="67" spans="1:30" x14ac:dyDescent="0.3">
      <c r="A67" t="str">
        <v>Mechanical Engineer</v>
      </c>
      <c r="B67" t="str">
        <v>Wind</v>
      </c>
      <c r="C67" t="str">
        <v xml:space="preserve">Engineering </v>
      </c>
      <c r="D67">
        <v>0.05</v>
      </c>
      <c r="E67">
        <v>0.05</v>
      </c>
      <c r="F67">
        <v>0.05</v>
      </c>
      <c r="G67">
        <v>0.05</v>
      </c>
      <c r="H67">
        <v>0.05</v>
      </c>
      <c r="I67">
        <v>0.05</v>
      </c>
      <c r="J67">
        <v>0.1</v>
      </c>
      <c r="K67">
        <v>0.1</v>
      </c>
      <c r="L67">
        <v>0.1</v>
      </c>
      <c r="M67">
        <v>0.1</v>
      </c>
      <c r="N67">
        <v>0.1</v>
      </c>
      <c r="O67">
        <v>0.1</v>
      </c>
      <c r="P67">
        <v>0.1</v>
      </c>
      <c r="Q67">
        <v>0.1</v>
      </c>
      <c r="R67">
        <v>0.1</v>
      </c>
      <c r="S67">
        <v>0.1</v>
      </c>
      <c r="T67">
        <v>0.1</v>
      </c>
      <c r="U67">
        <v>0.1</v>
      </c>
      <c r="V67">
        <v>0.1</v>
      </c>
      <c r="W67">
        <v>0.1</v>
      </c>
      <c r="X67">
        <v>0.1</v>
      </c>
      <c r="Y67">
        <v>0.1</v>
      </c>
      <c r="Z67">
        <v>0.1</v>
      </c>
      <c r="AA67">
        <v>0.1</v>
      </c>
      <c r="AB67">
        <v>0.05</v>
      </c>
      <c r="AC67">
        <v>0.05</v>
      </c>
      <c r="AD67">
        <v>0</v>
      </c>
    </row>
    <row r="68" spans="1:30" x14ac:dyDescent="0.3">
      <c r="A68" t="str">
        <v>Structural Engineer</v>
      </c>
      <c r="B68" t="str">
        <v>Wind</v>
      </c>
      <c r="C68" t="str">
        <v xml:space="preserve">Engineering </v>
      </c>
      <c r="D68">
        <v>0.05</v>
      </c>
      <c r="E68">
        <v>0.05</v>
      </c>
      <c r="F68">
        <v>0.05</v>
      </c>
      <c r="G68">
        <v>0.05</v>
      </c>
      <c r="H68">
        <v>0.05</v>
      </c>
      <c r="I68">
        <v>0.05</v>
      </c>
      <c r="J68">
        <v>0.1</v>
      </c>
      <c r="K68">
        <v>0.1</v>
      </c>
      <c r="L68">
        <v>0.1</v>
      </c>
      <c r="M68">
        <v>0.1</v>
      </c>
      <c r="N68">
        <v>0.1</v>
      </c>
      <c r="O68">
        <v>0.1</v>
      </c>
      <c r="P68">
        <v>0.1</v>
      </c>
      <c r="Q68">
        <v>0.1</v>
      </c>
      <c r="R68">
        <v>0.1</v>
      </c>
      <c r="S68">
        <v>0.1</v>
      </c>
      <c r="T68">
        <v>0.1</v>
      </c>
      <c r="U68">
        <v>0.1</v>
      </c>
      <c r="V68">
        <v>0.1</v>
      </c>
      <c r="W68">
        <v>0.1</v>
      </c>
      <c r="X68">
        <v>0.1</v>
      </c>
      <c r="Y68">
        <v>0.1</v>
      </c>
      <c r="Z68">
        <v>0.1</v>
      </c>
      <c r="AA68">
        <v>0.1</v>
      </c>
      <c r="AB68">
        <v>0.05</v>
      </c>
      <c r="AC68">
        <v>0.05</v>
      </c>
      <c r="AD68">
        <v>0</v>
      </c>
    </row>
    <row r="69" spans="1:30" x14ac:dyDescent="0.3">
      <c r="A69" t="str">
        <v>Construction Manager</v>
      </c>
      <c r="B69" t="str">
        <v>Wind</v>
      </c>
      <c r="C69" t="str">
        <v>Construction Monitoring</v>
      </c>
      <c r="D69">
        <v>0</v>
      </c>
      <c r="E69">
        <v>0</v>
      </c>
      <c r="F69">
        <v>0</v>
      </c>
      <c r="G69">
        <v>0.25</v>
      </c>
      <c r="H69">
        <v>0.25</v>
      </c>
      <c r="I69">
        <v>0.25</v>
      </c>
      <c r="J69">
        <v>0.5</v>
      </c>
      <c r="K69">
        <v>0.5</v>
      </c>
      <c r="L69">
        <v>0.5</v>
      </c>
      <c r="M69">
        <v>0.75</v>
      </c>
      <c r="N69">
        <v>0.75</v>
      </c>
      <c r="O69">
        <v>0.75</v>
      </c>
      <c r="P69">
        <v>0.75</v>
      </c>
      <c r="Q69">
        <v>0.75</v>
      </c>
      <c r="R69">
        <v>0.75</v>
      </c>
      <c r="S69">
        <v>0.75</v>
      </c>
      <c r="T69">
        <v>0.75</v>
      </c>
      <c r="U69">
        <v>0.75</v>
      </c>
      <c r="V69">
        <v>0.75</v>
      </c>
      <c r="W69">
        <v>0.75</v>
      </c>
      <c r="X69">
        <v>0.75</v>
      </c>
      <c r="Y69">
        <v>0.75</v>
      </c>
      <c r="Z69">
        <v>0.75</v>
      </c>
      <c r="AA69">
        <v>0.75</v>
      </c>
      <c r="AB69">
        <v>0.5</v>
      </c>
      <c r="AC69">
        <v>0.4</v>
      </c>
      <c r="AD69">
        <v>0.25</v>
      </c>
    </row>
    <row r="70" spans="1:30" x14ac:dyDescent="0.3">
      <c r="A70" t="str">
        <v>H&amp;S Field</v>
      </c>
      <c r="B70" t="str">
        <v>Wind</v>
      </c>
      <c r="C70" t="str">
        <v>Construction Monitoring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0.5</v>
      </c>
      <c r="Q70">
        <v>0.5</v>
      </c>
      <c r="R70">
        <v>0.5</v>
      </c>
      <c r="S70">
        <v>0.5</v>
      </c>
      <c r="T70">
        <v>0.5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0.25</v>
      </c>
      <c r="AC70">
        <v>0.15</v>
      </c>
      <c r="AD70">
        <v>0</v>
      </c>
    </row>
    <row r="71" spans="1:30" x14ac:dyDescent="0.3">
      <c r="A71" t="str">
        <v>Estimator</v>
      </c>
      <c r="B71" t="str">
        <v>Wind</v>
      </c>
      <c r="C71" t="str">
        <v>Project Controls</v>
      </c>
      <c r="D71">
        <v>0.1</v>
      </c>
      <c r="E71">
        <v>0.1</v>
      </c>
      <c r="F71">
        <v>0.1</v>
      </c>
      <c r="G71">
        <v>0.1</v>
      </c>
      <c r="H71">
        <v>0.1</v>
      </c>
      <c r="I71">
        <v>0.1</v>
      </c>
      <c r="J71">
        <v>0.1</v>
      </c>
      <c r="K71">
        <v>0.1</v>
      </c>
      <c r="L71">
        <v>0.1</v>
      </c>
      <c r="M71">
        <v>0.1</v>
      </c>
      <c r="N71">
        <v>0.1</v>
      </c>
      <c r="O71">
        <v>0.1</v>
      </c>
      <c r="P71">
        <v>0.1</v>
      </c>
      <c r="Q71">
        <v>0.1</v>
      </c>
      <c r="R71">
        <v>0.1</v>
      </c>
      <c r="S71">
        <v>0.1</v>
      </c>
      <c r="T71">
        <v>0.1</v>
      </c>
      <c r="U71">
        <v>0.1</v>
      </c>
      <c r="V71">
        <v>0.1</v>
      </c>
      <c r="W71">
        <v>0.1</v>
      </c>
      <c r="X71">
        <v>0.1</v>
      </c>
      <c r="Y71">
        <v>0.1</v>
      </c>
      <c r="Z71">
        <v>0.1</v>
      </c>
      <c r="AA71">
        <v>0.1</v>
      </c>
      <c r="AB71">
        <v>0.1</v>
      </c>
      <c r="AC71">
        <v>0.1</v>
      </c>
      <c r="AD71">
        <v>0.1</v>
      </c>
    </row>
    <row r="72" spans="1:30" x14ac:dyDescent="0.3">
      <c r="A72" t="str">
        <v>Risk Analyst</v>
      </c>
      <c r="B72" t="str">
        <v>Wind</v>
      </c>
      <c r="C72" t="str">
        <v>Project Controls</v>
      </c>
      <c r="D72">
        <v>0.05</v>
      </c>
      <c r="E72">
        <v>0.05</v>
      </c>
      <c r="F72">
        <v>0.05</v>
      </c>
      <c r="G72">
        <v>0.05</v>
      </c>
      <c r="H72">
        <v>0.05</v>
      </c>
      <c r="I72">
        <v>0.05</v>
      </c>
      <c r="J72">
        <v>0.05</v>
      </c>
      <c r="K72">
        <v>0.05</v>
      </c>
      <c r="L72">
        <v>0.05</v>
      </c>
      <c r="M72">
        <v>0.05</v>
      </c>
      <c r="N72">
        <v>0.05</v>
      </c>
      <c r="O72">
        <v>0.05</v>
      </c>
      <c r="P72">
        <v>0.05</v>
      </c>
      <c r="Q72">
        <v>0.05</v>
      </c>
      <c r="R72">
        <v>0.05</v>
      </c>
      <c r="S72">
        <v>0.05</v>
      </c>
      <c r="T72">
        <v>0.05</v>
      </c>
      <c r="U72">
        <v>0.05</v>
      </c>
      <c r="V72">
        <v>0.05</v>
      </c>
      <c r="W72">
        <v>0.05</v>
      </c>
      <c r="X72">
        <v>0.05</v>
      </c>
      <c r="Y72">
        <v>0.05</v>
      </c>
      <c r="Z72">
        <v>0.05</v>
      </c>
      <c r="AA72">
        <v>0.05</v>
      </c>
      <c r="AB72">
        <v>0.05</v>
      </c>
      <c r="AC72">
        <v>0</v>
      </c>
      <c r="AD72">
        <v>0</v>
      </c>
    </row>
    <row r="73" spans="1:30" x14ac:dyDescent="0.3">
      <c r="A73" t="str">
        <v>Document Control Specialist</v>
      </c>
      <c r="B73" t="str">
        <v>Wind</v>
      </c>
      <c r="C73" t="str">
        <v>Project Controls</v>
      </c>
      <c r="D73">
        <v>0.15</v>
      </c>
      <c r="E73">
        <v>0.15</v>
      </c>
      <c r="F73">
        <v>0.15</v>
      </c>
      <c r="G73">
        <v>0.15</v>
      </c>
      <c r="H73">
        <v>0.15</v>
      </c>
      <c r="I73">
        <v>0.15</v>
      </c>
      <c r="J73">
        <v>0.15</v>
      </c>
      <c r="K73">
        <v>0.15</v>
      </c>
      <c r="L73">
        <v>0.15</v>
      </c>
      <c r="M73">
        <v>0.15</v>
      </c>
      <c r="N73">
        <v>0.15</v>
      </c>
      <c r="O73">
        <v>0.15</v>
      </c>
      <c r="P73">
        <v>0.15</v>
      </c>
      <c r="Q73">
        <v>0.15</v>
      </c>
      <c r="R73">
        <v>0.15</v>
      </c>
      <c r="S73">
        <v>0.15</v>
      </c>
      <c r="T73">
        <v>0.15</v>
      </c>
      <c r="U73">
        <v>0.15</v>
      </c>
      <c r="V73">
        <v>0.15</v>
      </c>
      <c r="W73">
        <v>0.15</v>
      </c>
      <c r="X73">
        <v>0.15</v>
      </c>
      <c r="Y73">
        <v>0.15</v>
      </c>
      <c r="Z73">
        <v>0.15</v>
      </c>
      <c r="AA73">
        <v>0.15</v>
      </c>
      <c r="AB73">
        <v>0.15</v>
      </c>
      <c r="AC73">
        <v>0.15</v>
      </c>
      <c r="AD73">
        <v>0.15</v>
      </c>
    </row>
    <row r="74" spans="1:30" x14ac:dyDescent="0.3">
      <c r="A74" t="str">
        <v>Scheduler</v>
      </c>
      <c r="B74" t="str">
        <v>Wind</v>
      </c>
      <c r="C74" t="str">
        <v>Project Controls</v>
      </c>
      <c r="D74">
        <v>0.1</v>
      </c>
      <c r="E74">
        <v>0.1</v>
      </c>
      <c r="F74">
        <v>0.1</v>
      </c>
      <c r="G74">
        <v>0.1</v>
      </c>
      <c r="H74">
        <v>0.1</v>
      </c>
      <c r="I74">
        <v>0.1</v>
      </c>
      <c r="J74">
        <v>0.1</v>
      </c>
      <c r="K74">
        <v>0.1</v>
      </c>
      <c r="L74">
        <v>0.1</v>
      </c>
      <c r="M74">
        <v>0.1</v>
      </c>
      <c r="N74">
        <v>0.1</v>
      </c>
      <c r="O74">
        <v>0.1</v>
      </c>
      <c r="P74">
        <v>0.1</v>
      </c>
      <c r="Q74">
        <v>0.1</v>
      </c>
      <c r="R74">
        <v>0.1</v>
      </c>
      <c r="S74">
        <v>0.1</v>
      </c>
      <c r="T74">
        <v>0.1</v>
      </c>
      <c r="U74">
        <v>0.1</v>
      </c>
      <c r="V74">
        <v>0.1</v>
      </c>
      <c r="W74">
        <v>0.1</v>
      </c>
      <c r="X74">
        <v>0.1</v>
      </c>
      <c r="Y74">
        <v>0.1</v>
      </c>
      <c r="Z74">
        <v>0.1</v>
      </c>
      <c r="AA74">
        <v>0.1</v>
      </c>
      <c r="AB74">
        <v>0.1</v>
      </c>
      <c r="AC74">
        <v>0.1</v>
      </c>
      <c r="AD74">
        <v>0.1</v>
      </c>
    </row>
    <row r="75" spans="1:30" x14ac:dyDescent="0.3">
      <c r="A75" t="str">
        <v>Cost Controls</v>
      </c>
      <c r="B75" t="str">
        <v>Wind</v>
      </c>
      <c r="C75" t="str">
        <v>Project Controls</v>
      </c>
      <c r="D75">
        <v>0.1</v>
      </c>
      <c r="E75">
        <v>0.1</v>
      </c>
      <c r="F75">
        <v>0.1</v>
      </c>
      <c r="G75">
        <v>0.1</v>
      </c>
      <c r="H75">
        <v>0.1</v>
      </c>
      <c r="I75">
        <v>0.1</v>
      </c>
      <c r="J75">
        <v>0.1</v>
      </c>
      <c r="K75">
        <v>0.1</v>
      </c>
      <c r="L75">
        <v>0.1</v>
      </c>
      <c r="M75">
        <v>0.1</v>
      </c>
      <c r="N75">
        <v>0.1</v>
      </c>
      <c r="O75">
        <v>0.1</v>
      </c>
      <c r="P75">
        <v>0.1</v>
      </c>
      <c r="Q75">
        <v>0.1</v>
      </c>
      <c r="R75">
        <v>0.1</v>
      </c>
      <c r="S75">
        <v>0.1</v>
      </c>
      <c r="T75">
        <v>0.1</v>
      </c>
      <c r="U75">
        <v>0.1</v>
      </c>
      <c r="V75">
        <v>0.1</v>
      </c>
      <c r="W75">
        <v>0.1</v>
      </c>
      <c r="X75">
        <v>0.1</v>
      </c>
      <c r="Y75">
        <v>0.1</v>
      </c>
      <c r="Z75">
        <v>0.1</v>
      </c>
      <c r="AA75">
        <v>0.1</v>
      </c>
      <c r="AB75">
        <v>0.1</v>
      </c>
      <c r="AC75">
        <v>0.1</v>
      </c>
      <c r="AD75">
        <v>0.1</v>
      </c>
    </row>
    <row r="76" spans="1:30" x14ac:dyDescent="0.3">
      <c r="A76" t="str">
        <v>Project Manager</v>
      </c>
      <c r="B76" t="str">
        <v>Hydro</v>
      </c>
      <c r="C76" t="str">
        <v>Project Management</v>
      </c>
      <c r="D76">
        <v>0.25</v>
      </c>
      <c r="E76">
        <v>0.25</v>
      </c>
      <c r="F76">
        <v>0.25</v>
      </c>
      <c r="G76">
        <v>0.45</v>
      </c>
      <c r="H76">
        <v>0.45</v>
      </c>
      <c r="I76">
        <v>0.45</v>
      </c>
      <c r="J76">
        <v>0.65</v>
      </c>
      <c r="K76">
        <v>0.65</v>
      </c>
      <c r="L76">
        <v>0.65</v>
      </c>
      <c r="M76">
        <v>0.85</v>
      </c>
      <c r="N76">
        <v>0.85</v>
      </c>
      <c r="O76">
        <v>0.85</v>
      </c>
      <c r="P76">
        <v>0.85</v>
      </c>
      <c r="Q76">
        <v>0.85</v>
      </c>
      <c r="R76">
        <v>0.85</v>
      </c>
      <c r="S76">
        <v>0.85</v>
      </c>
      <c r="T76">
        <v>0.85</v>
      </c>
      <c r="U76">
        <v>0.85</v>
      </c>
      <c r="V76">
        <v>0.85</v>
      </c>
      <c r="W76">
        <v>0.85</v>
      </c>
      <c r="X76">
        <v>0.85</v>
      </c>
      <c r="Y76">
        <v>0.85</v>
      </c>
      <c r="Z76">
        <v>0.85</v>
      </c>
      <c r="AA76">
        <v>0.85</v>
      </c>
      <c r="AB76">
        <v>0.5</v>
      </c>
      <c r="AC76">
        <v>0.4</v>
      </c>
      <c r="AD76">
        <v>0.25</v>
      </c>
    </row>
    <row r="77" spans="1:30" x14ac:dyDescent="0.3">
      <c r="A77" t="str">
        <v>Project Engineer</v>
      </c>
      <c r="B77" t="str">
        <v>Hydro</v>
      </c>
      <c r="C77" t="str">
        <v>Project Management</v>
      </c>
      <c r="D77">
        <v>0.05</v>
      </c>
      <c r="E77">
        <v>0.05</v>
      </c>
      <c r="F77">
        <v>0.05</v>
      </c>
      <c r="G77">
        <v>0.05</v>
      </c>
      <c r="H77">
        <v>0.05</v>
      </c>
      <c r="I77">
        <v>0.05</v>
      </c>
      <c r="J77">
        <v>0.05</v>
      </c>
      <c r="K77">
        <v>0.05</v>
      </c>
      <c r="L77">
        <v>0.05</v>
      </c>
      <c r="M77">
        <v>0.05</v>
      </c>
      <c r="N77">
        <v>0.05</v>
      </c>
      <c r="O77">
        <v>0.05</v>
      </c>
      <c r="P77">
        <v>0.05</v>
      </c>
      <c r="Q77">
        <v>0.05</v>
      </c>
      <c r="R77">
        <v>0.05</v>
      </c>
      <c r="S77">
        <v>0.05</v>
      </c>
      <c r="T77">
        <v>0.05</v>
      </c>
      <c r="U77">
        <v>0.05</v>
      </c>
      <c r="V77">
        <v>0.05</v>
      </c>
      <c r="W77">
        <v>0.05</v>
      </c>
      <c r="X77">
        <v>0.05</v>
      </c>
      <c r="Y77">
        <v>0.05</v>
      </c>
      <c r="Z77">
        <v>0.05</v>
      </c>
      <c r="AA77">
        <v>0.05</v>
      </c>
      <c r="AB77">
        <v>0.05</v>
      </c>
      <c r="AC77">
        <v>0.05</v>
      </c>
      <c r="AD77">
        <v>0.05</v>
      </c>
    </row>
    <row r="78" spans="1:30" x14ac:dyDescent="0.3">
      <c r="A78" t="str">
        <v>Project Coordinator</v>
      </c>
      <c r="B78" t="str">
        <v>Hydro</v>
      </c>
      <c r="C78" t="str">
        <v>Project Management</v>
      </c>
      <c r="D78">
        <v>0.05</v>
      </c>
      <c r="E78">
        <v>0.05</v>
      </c>
      <c r="F78">
        <v>0.1</v>
      </c>
      <c r="G78">
        <v>0.1</v>
      </c>
      <c r="H78">
        <v>0.15</v>
      </c>
      <c r="I78">
        <v>0.15</v>
      </c>
      <c r="J78">
        <v>0.25</v>
      </c>
      <c r="K78">
        <v>0.25</v>
      </c>
      <c r="L78">
        <v>0.25</v>
      </c>
      <c r="M78">
        <v>0.25</v>
      </c>
      <c r="N78">
        <v>0.25</v>
      </c>
      <c r="O78">
        <v>0.25</v>
      </c>
      <c r="P78">
        <v>0.25</v>
      </c>
      <c r="Q78">
        <v>0.25</v>
      </c>
      <c r="R78">
        <v>0.25</v>
      </c>
      <c r="S78">
        <v>0.25</v>
      </c>
      <c r="T78">
        <v>0.25</v>
      </c>
      <c r="U78">
        <v>0.25</v>
      </c>
      <c r="V78">
        <v>0.25</v>
      </c>
      <c r="W78">
        <v>0.25</v>
      </c>
      <c r="X78">
        <v>0.25</v>
      </c>
      <c r="Y78">
        <v>0.25</v>
      </c>
      <c r="Z78">
        <v>0.25</v>
      </c>
      <c r="AA78">
        <v>0.25</v>
      </c>
      <c r="AB78">
        <v>0.25</v>
      </c>
      <c r="AC78">
        <v>0.25</v>
      </c>
      <c r="AD78">
        <v>0.25</v>
      </c>
    </row>
    <row r="79" spans="1:30" x14ac:dyDescent="0.3">
      <c r="A79" t="str">
        <v>Geotech Engineer</v>
      </c>
      <c r="B79" t="str">
        <v>Hydro</v>
      </c>
      <c r="C79" t="str">
        <v>Engineering</v>
      </c>
      <c r="D79">
        <v>0.05</v>
      </c>
      <c r="E79">
        <v>0.05</v>
      </c>
      <c r="F79">
        <v>0.05</v>
      </c>
      <c r="G79">
        <v>0.05</v>
      </c>
      <c r="H79">
        <v>0.05</v>
      </c>
      <c r="I79">
        <v>0.05</v>
      </c>
      <c r="J79">
        <v>0.1</v>
      </c>
      <c r="K79">
        <v>0.1</v>
      </c>
      <c r="L79">
        <v>0.1</v>
      </c>
      <c r="M79">
        <v>0.1</v>
      </c>
      <c r="N79">
        <v>0.1</v>
      </c>
      <c r="O79">
        <v>0.1</v>
      </c>
      <c r="P79">
        <v>0.1</v>
      </c>
      <c r="Q79">
        <v>0.1</v>
      </c>
      <c r="R79">
        <v>0.1</v>
      </c>
      <c r="S79">
        <v>0.1</v>
      </c>
      <c r="T79">
        <v>0.1</v>
      </c>
      <c r="U79">
        <v>0.1</v>
      </c>
      <c r="V79">
        <v>0.1</v>
      </c>
      <c r="W79">
        <v>0.1</v>
      </c>
      <c r="X79">
        <v>0.1</v>
      </c>
      <c r="Y79">
        <v>0.1</v>
      </c>
      <c r="Z79">
        <v>0.1</v>
      </c>
      <c r="AA79">
        <v>0.1</v>
      </c>
      <c r="AB79">
        <v>0.05</v>
      </c>
      <c r="AC79">
        <v>0.05</v>
      </c>
      <c r="AD79">
        <v>0</v>
      </c>
    </row>
    <row r="80" spans="1:30" x14ac:dyDescent="0.3">
      <c r="A80" t="str">
        <v>Civil Engineer</v>
      </c>
      <c r="B80" t="str">
        <v>Hydro</v>
      </c>
      <c r="C80" t="str">
        <v>Engineering</v>
      </c>
      <c r="D80">
        <v>0.05</v>
      </c>
      <c r="E80">
        <v>0.05</v>
      </c>
      <c r="F80">
        <v>0.05</v>
      </c>
      <c r="G80">
        <v>0.05</v>
      </c>
      <c r="H80">
        <v>0.05</v>
      </c>
      <c r="I80">
        <v>0.05</v>
      </c>
      <c r="J80">
        <v>0.1</v>
      </c>
      <c r="K80">
        <v>0.1</v>
      </c>
      <c r="L80">
        <v>0.1</v>
      </c>
      <c r="M80">
        <v>0.1</v>
      </c>
      <c r="N80">
        <v>0.1</v>
      </c>
      <c r="O80">
        <v>0.1</v>
      </c>
      <c r="P80">
        <v>0.1</v>
      </c>
      <c r="Q80">
        <v>0.1</v>
      </c>
      <c r="R80">
        <v>0.1</v>
      </c>
      <c r="S80">
        <v>0.1</v>
      </c>
      <c r="T80">
        <v>0.1</v>
      </c>
      <c r="U80">
        <v>0.1</v>
      </c>
      <c r="V80">
        <v>0.1</v>
      </c>
      <c r="W80">
        <v>0.1</v>
      </c>
      <c r="X80">
        <v>0.1</v>
      </c>
      <c r="Y80">
        <v>0.1</v>
      </c>
      <c r="Z80">
        <v>0.1</v>
      </c>
      <c r="AA80">
        <v>0.1</v>
      </c>
      <c r="AB80">
        <v>0.05</v>
      </c>
      <c r="AC80">
        <v>0.05</v>
      </c>
      <c r="AD80">
        <v>0</v>
      </c>
    </row>
    <row r="81" spans="1:30" x14ac:dyDescent="0.3">
      <c r="A81" t="str">
        <v>Hydraulics/Hydrology Engineer</v>
      </c>
      <c r="B81" t="str">
        <v>Hydro</v>
      </c>
      <c r="C81" t="str">
        <v>Engineering</v>
      </c>
      <c r="D81">
        <v>0.05</v>
      </c>
      <c r="E81">
        <v>0.05</v>
      </c>
      <c r="F81">
        <v>0.05</v>
      </c>
      <c r="G81">
        <v>0.05</v>
      </c>
      <c r="H81">
        <v>0.05</v>
      </c>
      <c r="I81">
        <v>0.05</v>
      </c>
      <c r="J81">
        <v>0.1</v>
      </c>
      <c r="K81">
        <v>0.1</v>
      </c>
      <c r="L81">
        <v>0.1</v>
      </c>
      <c r="M81">
        <v>0.1</v>
      </c>
      <c r="N81">
        <v>0.1</v>
      </c>
      <c r="O81">
        <v>0.1</v>
      </c>
      <c r="P81">
        <v>0.1</v>
      </c>
      <c r="Q81">
        <v>0.1</v>
      </c>
      <c r="R81">
        <v>0.1</v>
      </c>
      <c r="S81">
        <v>0.1</v>
      </c>
      <c r="T81">
        <v>0.1</v>
      </c>
      <c r="U81">
        <v>0.1</v>
      </c>
      <c r="V81">
        <v>0.1</v>
      </c>
      <c r="W81">
        <v>0.1</v>
      </c>
      <c r="X81">
        <v>0.1</v>
      </c>
      <c r="Y81">
        <v>0.1</v>
      </c>
      <c r="Z81">
        <v>0.1</v>
      </c>
      <c r="AA81">
        <v>0.1</v>
      </c>
      <c r="AB81">
        <v>0.05</v>
      </c>
      <c r="AC81">
        <v>0.05</v>
      </c>
      <c r="AD81">
        <v>0</v>
      </c>
    </row>
    <row r="82" spans="1:30" x14ac:dyDescent="0.3">
      <c r="A82" t="str">
        <v>I&amp;C Engineer</v>
      </c>
      <c r="B82" t="str">
        <v>Hydro</v>
      </c>
      <c r="C82" t="str">
        <v>Engineering</v>
      </c>
      <c r="D82">
        <v>0.05</v>
      </c>
      <c r="E82">
        <v>0.05</v>
      </c>
      <c r="F82">
        <v>0.05</v>
      </c>
      <c r="G82">
        <v>0.05</v>
      </c>
      <c r="H82">
        <v>0.05</v>
      </c>
      <c r="I82">
        <v>0.05</v>
      </c>
      <c r="J82">
        <v>0.1</v>
      </c>
      <c r="K82">
        <v>0.1</v>
      </c>
      <c r="L82">
        <v>0.1</v>
      </c>
      <c r="M82">
        <v>0.1</v>
      </c>
      <c r="N82">
        <v>0.1</v>
      </c>
      <c r="O82">
        <v>0.1</v>
      </c>
      <c r="P82">
        <v>0.1</v>
      </c>
      <c r="Q82">
        <v>0.1</v>
      </c>
      <c r="R82">
        <v>0.1</v>
      </c>
      <c r="S82">
        <v>0.1</v>
      </c>
      <c r="T82">
        <v>0.1</v>
      </c>
      <c r="U82">
        <v>0.1</v>
      </c>
      <c r="V82">
        <v>0.1</v>
      </c>
      <c r="W82">
        <v>0.1</v>
      </c>
      <c r="X82">
        <v>0.1</v>
      </c>
      <c r="Y82">
        <v>0.1</v>
      </c>
      <c r="Z82">
        <v>0.1</v>
      </c>
      <c r="AA82">
        <v>0.1</v>
      </c>
      <c r="AB82">
        <v>0.05</v>
      </c>
      <c r="AC82">
        <v>0.05</v>
      </c>
      <c r="AD82">
        <v>0</v>
      </c>
    </row>
    <row r="83" spans="1:30" x14ac:dyDescent="0.3">
      <c r="A83" t="str">
        <v>Electrical Engineer</v>
      </c>
      <c r="B83" t="str">
        <v>Hydro</v>
      </c>
      <c r="C83" t="str">
        <v>Engineering</v>
      </c>
      <c r="D83">
        <v>0.05</v>
      </c>
      <c r="E83">
        <v>0.05</v>
      </c>
      <c r="F83">
        <v>0.05</v>
      </c>
      <c r="G83">
        <v>0.05</v>
      </c>
      <c r="H83">
        <v>0.05</v>
      </c>
      <c r="I83">
        <v>0.05</v>
      </c>
      <c r="J83">
        <v>0.1</v>
      </c>
      <c r="K83">
        <v>0.1</v>
      </c>
      <c r="L83">
        <v>0.1</v>
      </c>
      <c r="M83">
        <v>0.1</v>
      </c>
      <c r="N83">
        <v>0.1</v>
      </c>
      <c r="O83">
        <v>0.1</v>
      </c>
      <c r="P83">
        <v>0.1</v>
      </c>
      <c r="Q83">
        <v>0.1</v>
      </c>
      <c r="R83">
        <v>0.1</v>
      </c>
      <c r="S83">
        <v>0.1</v>
      </c>
      <c r="T83">
        <v>0.1</v>
      </c>
      <c r="U83">
        <v>0.1</v>
      </c>
      <c r="V83">
        <v>0.1</v>
      </c>
      <c r="W83">
        <v>0.1</v>
      </c>
      <c r="X83">
        <v>0.1</v>
      </c>
      <c r="Y83">
        <v>0.1</v>
      </c>
      <c r="Z83">
        <v>0.1</v>
      </c>
      <c r="AA83">
        <v>0.1</v>
      </c>
      <c r="AB83">
        <v>0.05</v>
      </c>
      <c r="AC83">
        <v>0.05</v>
      </c>
      <c r="AD83">
        <v>0</v>
      </c>
    </row>
    <row r="84" spans="1:30" x14ac:dyDescent="0.3">
      <c r="A84" t="str">
        <v>Mechanical Engineer</v>
      </c>
      <c r="B84" t="str">
        <v>Hydro</v>
      </c>
      <c r="C84" t="str">
        <v>Engineering</v>
      </c>
      <c r="D84">
        <v>0.05</v>
      </c>
      <c r="E84">
        <v>0.05</v>
      </c>
      <c r="F84">
        <v>0.05</v>
      </c>
      <c r="G84">
        <v>0.05</v>
      </c>
      <c r="H84">
        <v>0.05</v>
      </c>
      <c r="I84">
        <v>0.05</v>
      </c>
      <c r="J84">
        <v>0.1</v>
      </c>
      <c r="K84">
        <v>0.1</v>
      </c>
      <c r="L84">
        <v>0.1</v>
      </c>
      <c r="M84">
        <v>0.1</v>
      </c>
      <c r="N84">
        <v>0.1</v>
      </c>
      <c r="O84">
        <v>0.1</v>
      </c>
      <c r="P84">
        <v>0.1</v>
      </c>
      <c r="Q84">
        <v>0.1</v>
      </c>
      <c r="R84">
        <v>0.1</v>
      </c>
      <c r="S84">
        <v>0.1</v>
      </c>
      <c r="T84">
        <v>0.1</v>
      </c>
      <c r="U84">
        <v>0.1</v>
      </c>
      <c r="V84">
        <v>0.1</v>
      </c>
      <c r="W84">
        <v>0.1</v>
      </c>
      <c r="X84">
        <v>0.1</v>
      </c>
      <c r="Y84">
        <v>0.1</v>
      </c>
      <c r="Z84">
        <v>0.1</v>
      </c>
      <c r="AA84">
        <v>0.1</v>
      </c>
      <c r="AB84">
        <v>0.05</v>
      </c>
      <c r="AC84">
        <v>0.05</v>
      </c>
      <c r="AD84">
        <v>0</v>
      </c>
    </row>
    <row r="85" spans="1:30" x14ac:dyDescent="0.3">
      <c r="A85" t="str">
        <v>Structural Engineer</v>
      </c>
      <c r="B85" t="str">
        <v>Hydro</v>
      </c>
      <c r="C85" t="str">
        <v>Engineering</v>
      </c>
      <c r="D85">
        <v>0.05</v>
      </c>
      <c r="E85">
        <v>0.05</v>
      </c>
      <c r="F85">
        <v>0.05</v>
      </c>
      <c r="G85">
        <v>0.05</v>
      </c>
      <c r="H85">
        <v>0.05</v>
      </c>
      <c r="I85">
        <v>0.05</v>
      </c>
      <c r="J85">
        <v>0.1</v>
      </c>
      <c r="K85">
        <v>0.1</v>
      </c>
      <c r="L85">
        <v>0.1</v>
      </c>
      <c r="M85">
        <v>0.1</v>
      </c>
      <c r="N85">
        <v>0.1</v>
      </c>
      <c r="O85">
        <v>0.1</v>
      </c>
      <c r="P85">
        <v>0.1</v>
      </c>
      <c r="Q85">
        <v>0.1</v>
      </c>
      <c r="R85">
        <v>0.1</v>
      </c>
      <c r="S85">
        <v>0.1</v>
      </c>
      <c r="T85">
        <v>0.1</v>
      </c>
      <c r="U85">
        <v>0.1</v>
      </c>
      <c r="V85">
        <v>0.1</v>
      </c>
      <c r="W85">
        <v>0.1</v>
      </c>
      <c r="X85">
        <v>0.1</v>
      </c>
      <c r="Y85">
        <v>0.1</v>
      </c>
      <c r="Z85">
        <v>0.1</v>
      </c>
      <c r="AA85">
        <v>0.1</v>
      </c>
      <c r="AB85">
        <v>0.05</v>
      </c>
      <c r="AC85">
        <v>0.05</v>
      </c>
      <c r="AD85">
        <v>0</v>
      </c>
    </row>
    <row r="86" spans="1:30" x14ac:dyDescent="0.3">
      <c r="A86" t="str">
        <v>Construction Manager</v>
      </c>
      <c r="B86" t="str">
        <v>Hydro</v>
      </c>
      <c r="C86" t="str">
        <v>Construction Monitoring</v>
      </c>
      <c r="D86">
        <v>0</v>
      </c>
      <c r="E86">
        <v>0</v>
      </c>
      <c r="F86">
        <v>0</v>
      </c>
      <c r="G86">
        <v>0.25</v>
      </c>
      <c r="H86">
        <v>0.25</v>
      </c>
      <c r="I86">
        <v>0.25</v>
      </c>
      <c r="J86">
        <v>0.5</v>
      </c>
      <c r="K86">
        <v>0.5</v>
      </c>
      <c r="L86">
        <v>0.5</v>
      </c>
      <c r="M86">
        <v>0.75</v>
      </c>
      <c r="N86">
        <v>0.75</v>
      </c>
      <c r="O86">
        <v>0.75</v>
      </c>
      <c r="P86">
        <v>0.75</v>
      </c>
      <c r="Q86">
        <v>0.75</v>
      </c>
      <c r="R86">
        <v>0.75</v>
      </c>
      <c r="S86">
        <v>0.75</v>
      </c>
      <c r="T86">
        <v>0.75</v>
      </c>
      <c r="U86">
        <v>0.75</v>
      </c>
      <c r="V86">
        <v>0.75</v>
      </c>
      <c r="W86">
        <v>0.75</v>
      </c>
      <c r="X86">
        <v>0.75</v>
      </c>
      <c r="Y86">
        <v>0.75</v>
      </c>
      <c r="Z86">
        <v>0.75</v>
      </c>
      <c r="AA86">
        <v>0.75</v>
      </c>
      <c r="AB86">
        <v>0.5</v>
      </c>
      <c r="AC86">
        <v>0.4</v>
      </c>
      <c r="AD86">
        <v>0.25</v>
      </c>
    </row>
    <row r="87" spans="1:30" x14ac:dyDescent="0.3">
      <c r="A87" t="str">
        <v>H&amp;S Field</v>
      </c>
      <c r="B87" t="str">
        <v>Hydro</v>
      </c>
      <c r="C87" t="str">
        <v>Construction Monitoring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0.5</v>
      </c>
      <c r="Q87">
        <v>0.5</v>
      </c>
      <c r="R87">
        <v>0.5</v>
      </c>
      <c r="S87">
        <v>0.5</v>
      </c>
      <c r="T87">
        <v>0.5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0.25</v>
      </c>
      <c r="AC87">
        <v>0.15</v>
      </c>
      <c r="AD87">
        <v>0</v>
      </c>
    </row>
    <row r="88" spans="1:30" x14ac:dyDescent="0.3">
      <c r="A88" t="str">
        <v>Estimator</v>
      </c>
      <c r="B88" t="str">
        <v>Hydro</v>
      </c>
      <c r="C88" t="str">
        <v>Project Controls</v>
      </c>
      <c r="D88">
        <v>0.1</v>
      </c>
      <c r="E88">
        <v>0.1</v>
      </c>
      <c r="F88">
        <v>0.1</v>
      </c>
      <c r="G88">
        <v>0.1</v>
      </c>
      <c r="H88">
        <v>0.1</v>
      </c>
      <c r="I88">
        <v>0.1</v>
      </c>
      <c r="J88">
        <v>0.1</v>
      </c>
      <c r="K88">
        <v>0.1</v>
      </c>
      <c r="L88">
        <v>0.1</v>
      </c>
      <c r="M88">
        <v>0.1</v>
      </c>
      <c r="N88">
        <v>0.1</v>
      </c>
      <c r="O88">
        <v>0.1</v>
      </c>
      <c r="P88">
        <v>0.1</v>
      </c>
      <c r="Q88">
        <v>0.1</v>
      </c>
      <c r="R88">
        <v>0.1</v>
      </c>
      <c r="S88">
        <v>0.1</v>
      </c>
      <c r="T88">
        <v>0.1</v>
      </c>
      <c r="U88">
        <v>0.1</v>
      </c>
      <c r="V88">
        <v>0.1</v>
      </c>
      <c r="W88">
        <v>0.1</v>
      </c>
      <c r="X88">
        <v>0.1</v>
      </c>
      <c r="Y88">
        <v>0.1</v>
      </c>
      <c r="Z88">
        <v>0.1</v>
      </c>
      <c r="AA88">
        <v>0.1</v>
      </c>
      <c r="AB88">
        <v>0.1</v>
      </c>
      <c r="AC88">
        <v>0.1</v>
      </c>
      <c r="AD88">
        <v>0.1</v>
      </c>
    </row>
    <row r="89" spans="1:30" x14ac:dyDescent="0.3">
      <c r="A89" t="str">
        <v>Risk Analyst</v>
      </c>
      <c r="B89" t="str">
        <v>Hydro</v>
      </c>
      <c r="C89" t="str">
        <v>Project Controls</v>
      </c>
      <c r="D89">
        <v>0.05</v>
      </c>
      <c r="E89">
        <v>0.05</v>
      </c>
      <c r="F89">
        <v>0.05</v>
      </c>
      <c r="G89">
        <v>0.05</v>
      </c>
      <c r="H89">
        <v>0.05</v>
      </c>
      <c r="I89">
        <v>0.05</v>
      </c>
      <c r="J89">
        <v>0.05</v>
      </c>
      <c r="K89">
        <v>0.05</v>
      </c>
      <c r="L89">
        <v>0.05</v>
      </c>
      <c r="M89">
        <v>0.05</v>
      </c>
      <c r="N89">
        <v>0.05</v>
      </c>
      <c r="O89">
        <v>0.05</v>
      </c>
      <c r="P89">
        <v>0.05</v>
      </c>
      <c r="Q89">
        <v>0.05</v>
      </c>
      <c r="R89">
        <v>0.05</v>
      </c>
      <c r="S89">
        <v>0.05</v>
      </c>
      <c r="T89">
        <v>0.05</v>
      </c>
      <c r="U89">
        <v>0.05</v>
      </c>
      <c r="V89">
        <v>0.05</v>
      </c>
      <c r="W89">
        <v>0.05</v>
      </c>
      <c r="X89">
        <v>0.05</v>
      </c>
      <c r="Y89">
        <v>0.05</v>
      </c>
      <c r="Z89">
        <v>0.05</v>
      </c>
      <c r="AA89">
        <v>0.05</v>
      </c>
      <c r="AB89">
        <v>0.05</v>
      </c>
      <c r="AC89">
        <v>0</v>
      </c>
      <c r="AD89">
        <v>0</v>
      </c>
    </row>
    <row r="90" spans="1:30" x14ac:dyDescent="0.3">
      <c r="A90" t="str">
        <v>Document Control Specialist</v>
      </c>
      <c r="B90" t="str">
        <v>Hydro</v>
      </c>
      <c r="C90" t="str">
        <v>Project Controls</v>
      </c>
      <c r="D90">
        <v>0.15</v>
      </c>
      <c r="E90">
        <v>0.15</v>
      </c>
      <c r="F90">
        <v>0.15</v>
      </c>
      <c r="G90">
        <v>0.15</v>
      </c>
      <c r="H90">
        <v>0.15</v>
      </c>
      <c r="I90">
        <v>0.15</v>
      </c>
      <c r="J90">
        <v>0.15</v>
      </c>
      <c r="K90">
        <v>0.15</v>
      </c>
      <c r="L90">
        <v>0.15</v>
      </c>
      <c r="M90">
        <v>0.15</v>
      </c>
      <c r="N90">
        <v>0.15</v>
      </c>
      <c r="O90">
        <v>0.15</v>
      </c>
      <c r="P90">
        <v>0.15</v>
      </c>
      <c r="Q90">
        <v>0.15</v>
      </c>
      <c r="R90">
        <v>0.15</v>
      </c>
      <c r="S90">
        <v>0.15</v>
      </c>
      <c r="T90">
        <v>0.15</v>
      </c>
      <c r="U90">
        <v>0.15</v>
      </c>
      <c r="V90">
        <v>0.15</v>
      </c>
      <c r="W90">
        <v>0.15</v>
      </c>
      <c r="X90">
        <v>0.15</v>
      </c>
      <c r="Y90">
        <v>0.15</v>
      </c>
      <c r="Z90">
        <v>0.15</v>
      </c>
      <c r="AA90">
        <v>0.15</v>
      </c>
      <c r="AB90">
        <v>0.15</v>
      </c>
      <c r="AC90">
        <v>0.15</v>
      </c>
      <c r="AD90">
        <v>0.15</v>
      </c>
    </row>
    <row r="91" spans="1:30" x14ac:dyDescent="0.3">
      <c r="A91" t="str">
        <v>Scheduler</v>
      </c>
      <c r="B91" t="str">
        <v>Hydro</v>
      </c>
      <c r="C91" t="str">
        <v>Project Controls</v>
      </c>
      <c r="D91">
        <v>0.1</v>
      </c>
      <c r="E91">
        <v>0.1</v>
      </c>
      <c r="F91">
        <v>0.1</v>
      </c>
      <c r="G91">
        <v>0.1</v>
      </c>
      <c r="H91">
        <v>0.1</v>
      </c>
      <c r="I91">
        <v>0.1</v>
      </c>
      <c r="J91">
        <v>0.1</v>
      </c>
      <c r="K91">
        <v>0.1</v>
      </c>
      <c r="L91">
        <v>0.1</v>
      </c>
      <c r="M91">
        <v>0.1</v>
      </c>
      <c r="N91">
        <v>0.1</v>
      </c>
      <c r="O91">
        <v>0.1</v>
      </c>
      <c r="P91">
        <v>0.1</v>
      </c>
      <c r="Q91">
        <v>0.1</v>
      </c>
      <c r="R91">
        <v>0.1</v>
      </c>
      <c r="S91">
        <v>0.1</v>
      </c>
      <c r="T91">
        <v>0.1</v>
      </c>
      <c r="U91">
        <v>0.1</v>
      </c>
      <c r="V91">
        <v>0.1</v>
      </c>
      <c r="W91">
        <v>0.1</v>
      </c>
      <c r="X91">
        <v>0.1</v>
      </c>
      <c r="Y91">
        <v>0.1</v>
      </c>
      <c r="Z91">
        <v>0.1</v>
      </c>
      <c r="AA91">
        <v>0.1</v>
      </c>
      <c r="AB91">
        <v>0.1</v>
      </c>
      <c r="AC91">
        <v>0.1</v>
      </c>
      <c r="AD91">
        <v>0.1</v>
      </c>
    </row>
    <row r="92" spans="1:30" x14ac:dyDescent="0.3">
      <c r="A92" t="str">
        <v>Cost Controls</v>
      </c>
      <c r="B92" t="str">
        <v>Hydro</v>
      </c>
      <c r="C92" t="str">
        <v>Project Controls</v>
      </c>
      <c r="D92">
        <v>0.1</v>
      </c>
      <c r="E92">
        <v>0.1</v>
      </c>
      <c r="F92">
        <v>0.1</v>
      </c>
      <c r="G92">
        <v>0.1</v>
      </c>
      <c r="H92">
        <v>0.1</v>
      </c>
      <c r="I92">
        <v>0.1</v>
      </c>
      <c r="J92">
        <v>0.1</v>
      </c>
      <c r="K92">
        <v>0.1</v>
      </c>
      <c r="L92">
        <v>0.1</v>
      </c>
      <c r="M92">
        <v>0.1</v>
      </c>
      <c r="N92">
        <v>0.1</v>
      </c>
      <c r="O92">
        <v>0.1</v>
      </c>
      <c r="P92">
        <v>0.1</v>
      </c>
      <c r="Q92">
        <v>0.1</v>
      </c>
      <c r="R92">
        <v>0.1</v>
      </c>
      <c r="S92">
        <v>0.1</v>
      </c>
      <c r="T92">
        <v>0.1</v>
      </c>
      <c r="U92">
        <v>0.1</v>
      </c>
      <c r="V92">
        <v>0.1</v>
      </c>
      <c r="W92">
        <v>0.1</v>
      </c>
      <c r="X92">
        <v>0.1</v>
      </c>
      <c r="Y92">
        <v>0.1</v>
      </c>
      <c r="Z92">
        <v>0.1</v>
      </c>
      <c r="AA92">
        <v>0.1</v>
      </c>
      <c r="AB92">
        <v>0.1</v>
      </c>
      <c r="AC92">
        <v>0.1</v>
      </c>
      <c r="AD92">
        <v>0.1</v>
      </c>
    </row>
    <row r="93" spans="1:30" x14ac:dyDescent="0.3">
      <c r="A93" t="str">
        <v>Project Manager</v>
      </c>
      <c r="B93" t="str">
        <v>Biomass</v>
      </c>
      <c r="C93" t="str">
        <v>Project Management</v>
      </c>
      <c r="D93">
        <v>0.25</v>
      </c>
      <c r="E93">
        <v>0.25</v>
      </c>
      <c r="F93">
        <v>0.25</v>
      </c>
      <c r="G93">
        <v>0.45</v>
      </c>
      <c r="H93">
        <v>0.45</v>
      </c>
      <c r="I93">
        <v>0.45</v>
      </c>
      <c r="J93">
        <v>0.65</v>
      </c>
      <c r="K93">
        <v>0.65</v>
      </c>
      <c r="L93">
        <v>0.65</v>
      </c>
      <c r="M93">
        <v>0.85</v>
      </c>
      <c r="N93">
        <v>0.85</v>
      </c>
      <c r="O93">
        <v>0.85</v>
      </c>
      <c r="P93">
        <v>0.85</v>
      </c>
      <c r="Q93">
        <v>0.85</v>
      </c>
      <c r="R93">
        <v>0.85</v>
      </c>
      <c r="S93">
        <v>0.85</v>
      </c>
      <c r="T93">
        <v>0.85</v>
      </c>
      <c r="U93">
        <v>0.85</v>
      </c>
      <c r="V93">
        <v>0.85</v>
      </c>
      <c r="W93">
        <v>0.85</v>
      </c>
      <c r="X93">
        <v>0.85</v>
      </c>
      <c r="Y93">
        <v>0.85</v>
      </c>
      <c r="Z93">
        <v>0.85</v>
      </c>
      <c r="AA93">
        <v>0.85</v>
      </c>
      <c r="AB93">
        <v>0.5</v>
      </c>
      <c r="AC93">
        <v>0.4</v>
      </c>
      <c r="AD93">
        <v>0.25</v>
      </c>
    </row>
    <row r="94" spans="1:30" x14ac:dyDescent="0.3">
      <c r="A94" t="str">
        <v>Project Engineer</v>
      </c>
      <c r="B94" t="str">
        <v>Biomass</v>
      </c>
      <c r="C94" t="str">
        <v>Project Management</v>
      </c>
      <c r="D94">
        <v>0.05</v>
      </c>
      <c r="E94">
        <v>0.05</v>
      </c>
      <c r="F94">
        <v>0.05</v>
      </c>
      <c r="G94">
        <v>0.05</v>
      </c>
      <c r="H94">
        <v>0.05</v>
      </c>
      <c r="I94">
        <v>0.05</v>
      </c>
      <c r="J94">
        <v>0.05</v>
      </c>
      <c r="K94">
        <v>0.05</v>
      </c>
      <c r="L94">
        <v>0.05</v>
      </c>
      <c r="M94">
        <v>0.05</v>
      </c>
      <c r="N94">
        <v>0.05</v>
      </c>
      <c r="O94">
        <v>0.05</v>
      </c>
      <c r="P94">
        <v>0.05</v>
      </c>
      <c r="Q94">
        <v>0.05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  <c r="AB94">
        <v>0.05</v>
      </c>
      <c r="AC94">
        <v>0.05</v>
      </c>
      <c r="AD94">
        <v>0.05</v>
      </c>
    </row>
    <row r="95" spans="1:30" x14ac:dyDescent="0.3">
      <c r="A95" t="str">
        <v>Project Coordinator</v>
      </c>
      <c r="B95" t="str">
        <v>Biomass</v>
      </c>
      <c r="C95" t="str">
        <v>Project Management</v>
      </c>
      <c r="D95">
        <v>0.05</v>
      </c>
      <c r="E95">
        <v>0.05</v>
      </c>
      <c r="F95">
        <v>0.1</v>
      </c>
      <c r="G95">
        <v>0.1</v>
      </c>
      <c r="H95">
        <v>0.15</v>
      </c>
      <c r="I95">
        <v>0.15</v>
      </c>
      <c r="J95">
        <v>0.25</v>
      </c>
      <c r="K95">
        <v>0.25</v>
      </c>
      <c r="L95">
        <v>0.25</v>
      </c>
      <c r="M95">
        <v>0.25</v>
      </c>
      <c r="N95">
        <v>0.25</v>
      </c>
      <c r="O95">
        <v>0.25</v>
      </c>
      <c r="P95">
        <v>0.25</v>
      </c>
      <c r="Q95">
        <v>0.25</v>
      </c>
      <c r="R95">
        <v>0.25</v>
      </c>
      <c r="S95">
        <v>0.25</v>
      </c>
      <c r="T95">
        <v>0.25</v>
      </c>
      <c r="U95">
        <v>0.25</v>
      </c>
      <c r="V95">
        <v>0.25</v>
      </c>
      <c r="W95">
        <v>0.25</v>
      </c>
      <c r="X95">
        <v>0.25</v>
      </c>
      <c r="Y95">
        <v>0.25</v>
      </c>
      <c r="Z95">
        <v>0.25</v>
      </c>
      <c r="AA95">
        <v>0.25</v>
      </c>
      <c r="AB95">
        <v>0.25</v>
      </c>
      <c r="AC95">
        <v>0.25</v>
      </c>
      <c r="AD95">
        <v>0.25</v>
      </c>
    </row>
    <row r="96" spans="1:30" x14ac:dyDescent="0.3">
      <c r="A96" t="str">
        <v>Civil Engineer</v>
      </c>
      <c r="B96" t="str">
        <v>Biomass</v>
      </c>
      <c r="C96" t="str">
        <v>Engineering</v>
      </c>
      <c r="D96">
        <v>0.05</v>
      </c>
      <c r="E96">
        <v>0.05</v>
      </c>
      <c r="F96">
        <v>0.05</v>
      </c>
      <c r="G96">
        <v>0.05</v>
      </c>
      <c r="H96">
        <v>0.05</v>
      </c>
      <c r="I96">
        <v>0.05</v>
      </c>
      <c r="J96">
        <v>0.1</v>
      </c>
      <c r="K96">
        <v>0.1</v>
      </c>
      <c r="L96">
        <v>0.1</v>
      </c>
      <c r="M96">
        <v>0.1</v>
      </c>
      <c r="N96">
        <v>0.1</v>
      </c>
      <c r="O96">
        <v>0.1</v>
      </c>
      <c r="P96">
        <v>0.1</v>
      </c>
      <c r="Q96">
        <v>0.1</v>
      </c>
      <c r="R96">
        <v>0.1</v>
      </c>
      <c r="S96">
        <v>0.1</v>
      </c>
      <c r="T96">
        <v>0.1</v>
      </c>
      <c r="U96">
        <v>0.1</v>
      </c>
      <c r="V96">
        <v>0.1</v>
      </c>
      <c r="W96">
        <v>0.1</v>
      </c>
      <c r="X96">
        <v>0.1</v>
      </c>
      <c r="Y96">
        <v>0.1</v>
      </c>
      <c r="Z96">
        <v>0.1</v>
      </c>
      <c r="AA96">
        <v>0.1</v>
      </c>
      <c r="AB96">
        <v>0.05</v>
      </c>
      <c r="AC96">
        <v>0.05</v>
      </c>
      <c r="AD96">
        <v>0</v>
      </c>
    </row>
    <row r="97" spans="1:30" x14ac:dyDescent="0.3">
      <c r="A97" t="str">
        <v>Structural Engineer</v>
      </c>
      <c r="B97" t="str">
        <v>Biomass</v>
      </c>
      <c r="C97" t="str">
        <v>Engineering</v>
      </c>
      <c r="D97">
        <v>0.05</v>
      </c>
      <c r="E97">
        <v>0.05</v>
      </c>
      <c r="F97">
        <v>0.05</v>
      </c>
      <c r="G97">
        <v>0.05</v>
      </c>
      <c r="H97">
        <v>0.05</v>
      </c>
      <c r="I97">
        <v>0.05</v>
      </c>
      <c r="J97">
        <v>0.1</v>
      </c>
      <c r="K97">
        <v>0.1</v>
      </c>
      <c r="L97">
        <v>0.1</v>
      </c>
      <c r="M97">
        <v>0.1</v>
      </c>
      <c r="N97">
        <v>0.1</v>
      </c>
      <c r="O97">
        <v>0.1</v>
      </c>
      <c r="P97">
        <v>0.1</v>
      </c>
      <c r="Q97">
        <v>0.1</v>
      </c>
      <c r="R97">
        <v>0.1</v>
      </c>
      <c r="S97">
        <v>0.1</v>
      </c>
      <c r="T97">
        <v>0.1</v>
      </c>
      <c r="U97">
        <v>0.1</v>
      </c>
      <c r="V97">
        <v>0.1</v>
      </c>
      <c r="W97">
        <v>0.1</v>
      </c>
      <c r="X97">
        <v>0.1</v>
      </c>
      <c r="Y97">
        <v>0.1</v>
      </c>
      <c r="Z97">
        <v>0.1</v>
      </c>
      <c r="AA97">
        <v>0.1</v>
      </c>
      <c r="AB97">
        <v>0.05</v>
      </c>
      <c r="AC97">
        <v>0.05</v>
      </c>
      <c r="AD97">
        <v>0</v>
      </c>
    </row>
    <row r="98" spans="1:30" x14ac:dyDescent="0.3">
      <c r="A98" t="str">
        <v>Mechanical Engineer</v>
      </c>
      <c r="B98" t="str">
        <v>Biomass</v>
      </c>
      <c r="C98" t="str">
        <v>Engineering</v>
      </c>
      <c r="D98">
        <v>0.05</v>
      </c>
      <c r="E98">
        <v>0.05</v>
      </c>
      <c r="F98">
        <v>0.05</v>
      </c>
      <c r="G98">
        <v>0.05</v>
      </c>
      <c r="H98">
        <v>0.05</v>
      </c>
      <c r="I98">
        <v>0.05</v>
      </c>
      <c r="J98">
        <v>0.1</v>
      </c>
      <c r="K98">
        <v>0.1</v>
      </c>
      <c r="L98">
        <v>0.1</v>
      </c>
      <c r="M98">
        <v>0.1</v>
      </c>
      <c r="N98">
        <v>0.1</v>
      </c>
      <c r="O98">
        <v>0.1</v>
      </c>
      <c r="P98">
        <v>0.1</v>
      </c>
      <c r="Q98">
        <v>0.1</v>
      </c>
      <c r="R98">
        <v>0.1</v>
      </c>
      <c r="S98">
        <v>0.1</v>
      </c>
      <c r="T98">
        <v>0.1</v>
      </c>
      <c r="U98">
        <v>0.1</v>
      </c>
      <c r="V98">
        <v>0.1</v>
      </c>
      <c r="W98">
        <v>0.1</v>
      </c>
      <c r="X98">
        <v>0.1</v>
      </c>
      <c r="Y98">
        <v>0.1</v>
      </c>
      <c r="Z98">
        <v>0.1</v>
      </c>
      <c r="AA98">
        <v>0.1</v>
      </c>
      <c r="AB98">
        <v>0.05</v>
      </c>
      <c r="AC98">
        <v>0.05</v>
      </c>
      <c r="AD98">
        <v>0</v>
      </c>
    </row>
    <row r="99" spans="1:30" x14ac:dyDescent="0.3">
      <c r="A99" t="str">
        <v>Construction Manager</v>
      </c>
      <c r="B99" t="str">
        <v>Biomass</v>
      </c>
      <c r="C99" t="str">
        <v>Construction Monitoring</v>
      </c>
      <c r="D99">
        <v>0</v>
      </c>
      <c r="E99">
        <v>0</v>
      </c>
      <c r="F99">
        <v>0</v>
      </c>
      <c r="G99">
        <v>0.25</v>
      </c>
      <c r="H99">
        <v>0.25</v>
      </c>
      <c r="I99">
        <v>0.25</v>
      </c>
      <c r="J99">
        <v>0.5</v>
      </c>
      <c r="K99">
        <v>0.5</v>
      </c>
      <c r="L99">
        <v>0.5</v>
      </c>
      <c r="M99">
        <v>0.75</v>
      </c>
      <c r="N99">
        <v>0.75</v>
      </c>
      <c r="O99">
        <v>0.75</v>
      </c>
      <c r="P99">
        <v>0.75</v>
      </c>
      <c r="Q99">
        <v>0.75</v>
      </c>
      <c r="R99">
        <v>0.75</v>
      </c>
      <c r="S99">
        <v>0.75</v>
      </c>
      <c r="T99">
        <v>0.75</v>
      </c>
      <c r="U99">
        <v>0.75</v>
      </c>
      <c r="V99">
        <v>0.75</v>
      </c>
      <c r="W99">
        <v>0.75</v>
      </c>
      <c r="X99">
        <v>0.75</v>
      </c>
      <c r="Y99">
        <v>0.75</v>
      </c>
      <c r="Z99">
        <v>0.75</v>
      </c>
      <c r="AA99">
        <v>0.75</v>
      </c>
      <c r="AB99">
        <v>0.5</v>
      </c>
      <c r="AC99">
        <v>0.4</v>
      </c>
      <c r="AD99">
        <v>0.25</v>
      </c>
    </row>
    <row r="100" spans="1:30" x14ac:dyDescent="0.3">
      <c r="A100" t="str">
        <v>H&amp;S Field</v>
      </c>
      <c r="B100" t="str">
        <v>Biomass</v>
      </c>
      <c r="C100" t="str">
        <v>Construction Monitoring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0.5</v>
      </c>
      <c r="Q100">
        <v>0.5</v>
      </c>
      <c r="R100">
        <v>0.5</v>
      </c>
      <c r="S100">
        <v>0.5</v>
      </c>
      <c r="T100">
        <v>0.5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0.25</v>
      </c>
      <c r="AC100">
        <v>0.15</v>
      </c>
      <c r="AD100">
        <v>0</v>
      </c>
    </row>
    <row r="101" spans="1:30" x14ac:dyDescent="0.3">
      <c r="A101" t="str">
        <v>Estimator</v>
      </c>
      <c r="B101" t="str">
        <v>Biomass</v>
      </c>
      <c r="C101" t="str">
        <v>Project Controls</v>
      </c>
      <c r="D101">
        <v>0.1</v>
      </c>
      <c r="E101">
        <v>0.1</v>
      </c>
      <c r="F101">
        <v>0.1</v>
      </c>
      <c r="G101">
        <v>0.1</v>
      </c>
      <c r="H101">
        <v>0.1</v>
      </c>
      <c r="I101">
        <v>0.1</v>
      </c>
      <c r="J101">
        <v>0.1</v>
      </c>
      <c r="K101">
        <v>0.1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</row>
    <row r="102" spans="1:30" x14ac:dyDescent="0.3">
      <c r="A102" t="str">
        <v>Risk Analyst</v>
      </c>
      <c r="B102" t="str">
        <v>Biomass</v>
      </c>
      <c r="C102" t="str">
        <v>Project Controls</v>
      </c>
      <c r="D102">
        <v>0.05</v>
      </c>
      <c r="E102">
        <v>0.05</v>
      </c>
      <c r="F102">
        <v>0.05</v>
      </c>
      <c r="G102">
        <v>0.05</v>
      </c>
      <c r="H102">
        <v>0.05</v>
      </c>
      <c r="I102">
        <v>0.05</v>
      </c>
      <c r="J102">
        <v>0.05</v>
      </c>
      <c r="K102">
        <v>0.05</v>
      </c>
      <c r="L102">
        <v>0.05</v>
      </c>
      <c r="M102">
        <v>0.05</v>
      </c>
      <c r="N102">
        <v>0.05</v>
      </c>
      <c r="O102">
        <v>0.05</v>
      </c>
      <c r="P102">
        <v>0.05</v>
      </c>
      <c r="Q102">
        <v>0.05</v>
      </c>
      <c r="R102">
        <v>0.05</v>
      </c>
      <c r="S102">
        <v>0.05</v>
      </c>
      <c r="T102">
        <v>0.05</v>
      </c>
      <c r="U102">
        <v>0.05</v>
      </c>
      <c r="V102">
        <v>0.05</v>
      </c>
      <c r="W102">
        <v>0.05</v>
      </c>
      <c r="X102">
        <v>0.05</v>
      </c>
      <c r="Y102">
        <v>0.05</v>
      </c>
      <c r="Z102">
        <v>0.05</v>
      </c>
      <c r="AA102">
        <v>0.05</v>
      </c>
      <c r="AB102">
        <v>0.05</v>
      </c>
      <c r="AC102">
        <v>0</v>
      </c>
      <c r="AD102">
        <v>0</v>
      </c>
    </row>
    <row r="103" spans="1:30" x14ac:dyDescent="0.3">
      <c r="A103" t="str">
        <v>Document Control Specialist</v>
      </c>
      <c r="B103" t="str">
        <v>Biomass</v>
      </c>
      <c r="C103" t="str">
        <v>Project Controls</v>
      </c>
      <c r="D103">
        <v>0.15</v>
      </c>
      <c r="E103">
        <v>0.15</v>
      </c>
      <c r="F103">
        <v>0.15</v>
      </c>
      <c r="G103">
        <v>0.15</v>
      </c>
      <c r="H103">
        <v>0.15</v>
      </c>
      <c r="I103">
        <v>0.15</v>
      </c>
      <c r="J103">
        <v>0.15</v>
      </c>
      <c r="K103">
        <v>0.15</v>
      </c>
      <c r="L103">
        <v>0.15</v>
      </c>
      <c r="M103">
        <v>0.15</v>
      </c>
      <c r="N103">
        <v>0.15</v>
      </c>
      <c r="O103">
        <v>0.15</v>
      </c>
      <c r="P103">
        <v>0.15</v>
      </c>
      <c r="Q103">
        <v>0.15</v>
      </c>
      <c r="R103">
        <v>0.15</v>
      </c>
      <c r="S103">
        <v>0.15</v>
      </c>
      <c r="T103">
        <v>0.15</v>
      </c>
      <c r="U103">
        <v>0.15</v>
      </c>
      <c r="V103">
        <v>0.15</v>
      </c>
      <c r="W103">
        <v>0.15</v>
      </c>
      <c r="X103">
        <v>0.15</v>
      </c>
      <c r="Y103">
        <v>0.15</v>
      </c>
      <c r="Z103">
        <v>0.15</v>
      </c>
      <c r="AA103">
        <v>0.15</v>
      </c>
      <c r="AB103">
        <v>0.15</v>
      </c>
      <c r="AC103">
        <v>0.15</v>
      </c>
      <c r="AD103">
        <v>0.15</v>
      </c>
    </row>
    <row r="104" spans="1:30" x14ac:dyDescent="0.3">
      <c r="A104" t="str">
        <v>Scheduler</v>
      </c>
      <c r="B104" t="str">
        <v>Biomass</v>
      </c>
      <c r="C104" t="str">
        <v>Project Controls</v>
      </c>
      <c r="D104">
        <v>0.1</v>
      </c>
      <c r="E104">
        <v>0.1</v>
      </c>
      <c r="F104">
        <v>0.1</v>
      </c>
      <c r="G104">
        <v>0.1</v>
      </c>
      <c r="H104">
        <v>0.1</v>
      </c>
      <c r="I104">
        <v>0.1</v>
      </c>
      <c r="J104">
        <v>0.1</v>
      </c>
      <c r="K104">
        <v>0.1</v>
      </c>
      <c r="L104">
        <v>0.1</v>
      </c>
      <c r="M104">
        <v>0.1</v>
      </c>
      <c r="N104">
        <v>0.1</v>
      </c>
      <c r="O104">
        <v>0.1</v>
      </c>
      <c r="P104">
        <v>0.1</v>
      </c>
      <c r="Q104">
        <v>0.1</v>
      </c>
      <c r="R104">
        <v>0.1</v>
      </c>
      <c r="S104">
        <v>0.1</v>
      </c>
      <c r="T104">
        <v>0.1</v>
      </c>
      <c r="U104">
        <v>0.1</v>
      </c>
      <c r="V104">
        <v>0.1</v>
      </c>
      <c r="W104">
        <v>0.1</v>
      </c>
      <c r="X104">
        <v>0.1</v>
      </c>
      <c r="Y104">
        <v>0.1</v>
      </c>
      <c r="Z104">
        <v>0.1</v>
      </c>
      <c r="AA104">
        <v>0.1</v>
      </c>
      <c r="AB104">
        <v>0.1</v>
      </c>
      <c r="AC104">
        <v>0.1</v>
      </c>
      <c r="AD104">
        <v>0.1</v>
      </c>
    </row>
    <row r="105" spans="1:30" x14ac:dyDescent="0.3">
      <c r="A105" t="str">
        <v>Cost Controls</v>
      </c>
      <c r="B105" t="str">
        <v>Biomass</v>
      </c>
      <c r="C105" t="str">
        <v>Project Controls</v>
      </c>
      <c r="D105">
        <v>0.1</v>
      </c>
      <c r="E105">
        <v>0.1</v>
      </c>
      <c r="F105">
        <v>0.1</v>
      </c>
      <c r="G105">
        <v>0.1</v>
      </c>
      <c r="H105">
        <v>0.1</v>
      </c>
      <c r="I105">
        <v>0.1</v>
      </c>
      <c r="J105">
        <v>0.1</v>
      </c>
      <c r="K105">
        <v>0.1</v>
      </c>
      <c r="L105">
        <v>0.1</v>
      </c>
      <c r="M105">
        <v>0.1</v>
      </c>
      <c r="N105">
        <v>0.1</v>
      </c>
      <c r="O105">
        <v>0.1</v>
      </c>
      <c r="P105">
        <v>0.1</v>
      </c>
      <c r="Q105">
        <v>0.1</v>
      </c>
      <c r="R105">
        <v>0.1</v>
      </c>
      <c r="S105">
        <v>0.1</v>
      </c>
      <c r="T105">
        <v>0.1</v>
      </c>
      <c r="U105">
        <v>0.1</v>
      </c>
      <c r="V105">
        <v>0.1</v>
      </c>
      <c r="W105">
        <v>0.1</v>
      </c>
      <c r="X105">
        <v>0.1</v>
      </c>
      <c r="Y105">
        <v>0.1</v>
      </c>
      <c r="Z105">
        <v>0.1</v>
      </c>
      <c r="AA105">
        <v>0.1</v>
      </c>
      <c r="AB105">
        <v>0.1</v>
      </c>
      <c r="AC105">
        <v>0.1</v>
      </c>
      <c r="AD105">
        <v>0.1</v>
      </c>
    </row>
    <row r="106" spans="1:30" x14ac:dyDescent="0.3">
      <c r="A106" t="str">
        <v>Project Manager</v>
      </c>
      <c r="B106" t="str">
        <v>Solar</v>
      </c>
      <c r="C106" t="str">
        <v>Project Management</v>
      </c>
      <c r="D106">
        <v>0.25</v>
      </c>
      <c r="E106">
        <v>0.25</v>
      </c>
      <c r="F106">
        <v>0.25</v>
      </c>
      <c r="G106">
        <v>0.45</v>
      </c>
      <c r="H106">
        <v>0.45</v>
      </c>
      <c r="I106">
        <v>0.45</v>
      </c>
      <c r="J106">
        <v>0.65</v>
      </c>
      <c r="K106">
        <v>0.65</v>
      </c>
      <c r="L106">
        <v>0.65</v>
      </c>
      <c r="M106">
        <v>0.85</v>
      </c>
      <c r="N106">
        <v>0.85</v>
      </c>
      <c r="O106">
        <v>0.85</v>
      </c>
      <c r="P106">
        <v>0.85</v>
      </c>
      <c r="Q106">
        <v>0.85</v>
      </c>
      <c r="R106">
        <v>0.85</v>
      </c>
      <c r="S106">
        <v>0.85</v>
      </c>
      <c r="T106">
        <v>0.85</v>
      </c>
      <c r="U106">
        <v>0.85</v>
      </c>
      <c r="V106">
        <v>0.85</v>
      </c>
      <c r="W106">
        <v>0.85</v>
      </c>
      <c r="X106">
        <v>0.85</v>
      </c>
      <c r="Y106">
        <v>0.85</v>
      </c>
      <c r="Z106">
        <v>0.85</v>
      </c>
      <c r="AA106">
        <v>0.85</v>
      </c>
      <c r="AB106">
        <v>0.5</v>
      </c>
      <c r="AC106">
        <v>0.4</v>
      </c>
      <c r="AD106">
        <v>0.25</v>
      </c>
    </row>
    <row r="107" spans="1:30" x14ac:dyDescent="0.3">
      <c r="A107" t="str">
        <v>Project Engineer</v>
      </c>
      <c r="B107" t="str">
        <v>Solar</v>
      </c>
      <c r="C107" t="str">
        <v>Project Management</v>
      </c>
      <c r="D107">
        <v>0.05</v>
      </c>
      <c r="E107">
        <v>0.05</v>
      </c>
      <c r="F107">
        <v>0.05</v>
      </c>
      <c r="G107">
        <v>0.05</v>
      </c>
      <c r="H107">
        <v>0.05</v>
      </c>
      <c r="I107">
        <v>0.05</v>
      </c>
      <c r="J107">
        <v>0.05</v>
      </c>
      <c r="K107">
        <v>0.05</v>
      </c>
      <c r="L107">
        <v>0.05</v>
      </c>
      <c r="M107">
        <v>0.05</v>
      </c>
      <c r="N107">
        <v>0.05</v>
      </c>
      <c r="O107">
        <v>0.05</v>
      </c>
      <c r="P107">
        <v>0.05</v>
      </c>
      <c r="Q107">
        <v>0.05</v>
      </c>
      <c r="R107">
        <v>0.05</v>
      </c>
      <c r="S107">
        <v>0.05</v>
      </c>
      <c r="T107">
        <v>0.05</v>
      </c>
      <c r="U107">
        <v>0.05</v>
      </c>
      <c r="V107">
        <v>0.05</v>
      </c>
      <c r="W107">
        <v>0.05</v>
      </c>
      <c r="X107">
        <v>0.05</v>
      </c>
      <c r="Y107">
        <v>0.05</v>
      </c>
      <c r="Z107">
        <v>0.05</v>
      </c>
      <c r="AA107">
        <v>0.05</v>
      </c>
      <c r="AB107">
        <v>0.05</v>
      </c>
      <c r="AC107">
        <v>0.05</v>
      </c>
      <c r="AD107">
        <v>0.05</v>
      </c>
    </row>
    <row r="108" spans="1:30" x14ac:dyDescent="0.3">
      <c r="A108" t="str">
        <v>Project Coordinator</v>
      </c>
      <c r="B108" t="str">
        <v>Solar</v>
      </c>
      <c r="C108" t="str">
        <v>Project Management</v>
      </c>
      <c r="D108">
        <v>0.05</v>
      </c>
      <c r="E108">
        <v>0.05</v>
      </c>
      <c r="F108">
        <v>0.1</v>
      </c>
      <c r="G108">
        <v>0.1</v>
      </c>
      <c r="H108">
        <v>0.15</v>
      </c>
      <c r="I108">
        <v>0.15</v>
      </c>
      <c r="J108">
        <v>0.25</v>
      </c>
      <c r="K108">
        <v>0.25</v>
      </c>
      <c r="L108">
        <v>0.25</v>
      </c>
      <c r="M108">
        <v>0.25</v>
      </c>
      <c r="N108">
        <v>0.25</v>
      </c>
      <c r="O108">
        <v>0.25</v>
      </c>
      <c r="P108">
        <v>0.25</v>
      </c>
      <c r="Q108">
        <v>0.25</v>
      </c>
      <c r="R108">
        <v>0.25</v>
      </c>
      <c r="S108">
        <v>0.25</v>
      </c>
      <c r="T108">
        <v>0.25</v>
      </c>
      <c r="U108">
        <v>0.25</v>
      </c>
      <c r="V108">
        <v>0.25</v>
      </c>
      <c r="W108">
        <v>0.25</v>
      </c>
      <c r="X108">
        <v>0.25</v>
      </c>
      <c r="Y108">
        <v>0.25</v>
      </c>
      <c r="Z108">
        <v>0.25</v>
      </c>
      <c r="AA108">
        <v>0.25</v>
      </c>
      <c r="AB108">
        <v>0.25</v>
      </c>
      <c r="AC108">
        <v>0.25</v>
      </c>
      <c r="AD108">
        <v>0.25</v>
      </c>
    </row>
    <row r="109" spans="1:30" x14ac:dyDescent="0.3">
      <c r="A109" t="str">
        <v>Civil Engineer</v>
      </c>
      <c r="B109" t="str">
        <v>Solar</v>
      </c>
      <c r="C109" t="str">
        <v xml:space="preserve">Engineering </v>
      </c>
      <c r="D109">
        <v>0.05</v>
      </c>
      <c r="E109">
        <v>0.05</v>
      </c>
      <c r="F109">
        <v>0.05</v>
      </c>
      <c r="G109">
        <v>0.05</v>
      </c>
      <c r="H109">
        <v>0.05</v>
      </c>
      <c r="I109">
        <v>0.05</v>
      </c>
      <c r="J109">
        <v>0.1</v>
      </c>
      <c r="K109">
        <v>0.1</v>
      </c>
      <c r="L109">
        <v>0.1</v>
      </c>
      <c r="M109">
        <v>0.1</v>
      </c>
      <c r="N109">
        <v>0.1</v>
      </c>
      <c r="O109">
        <v>0.1</v>
      </c>
      <c r="P109">
        <v>0.1</v>
      </c>
      <c r="Q109">
        <v>0.1</v>
      </c>
      <c r="R109">
        <v>0.1</v>
      </c>
      <c r="S109">
        <v>0.1</v>
      </c>
      <c r="T109">
        <v>0.1</v>
      </c>
      <c r="U109">
        <v>0.1</v>
      </c>
      <c r="V109">
        <v>0.1</v>
      </c>
      <c r="W109">
        <v>0.1</v>
      </c>
      <c r="X109">
        <v>0.1</v>
      </c>
      <c r="Y109">
        <v>0.1</v>
      </c>
      <c r="Z109">
        <v>0.1</v>
      </c>
      <c r="AA109">
        <v>0.1</v>
      </c>
      <c r="AB109">
        <v>0.05</v>
      </c>
      <c r="AC109">
        <v>0.05</v>
      </c>
      <c r="AD109">
        <v>0</v>
      </c>
    </row>
    <row r="110" spans="1:30" x14ac:dyDescent="0.3">
      <c r="A110" t="str">
        <v>I&amp;C Engineer</v>
      </c>
      <c r="B110" t="str">
        <v>Solar</v>
      </c>
      <c r="C110" t="str">
        <v xml:space="preserve">Engineering </v>
      </c>
      <c r="D110">
        <v>0.05</v>
      </c>
      <c r="E110">
        <v>0.05</v>
      </c>
      <c r="F110">
        <v>0.05</v>
      </c>
      <c r="G110">
        <v>0.05</v>
      </c>
      <c r="H110">
        <v>0.05</v>
      </c>
      <c r="I110">
        <v>0.05</v>
      </c>
      <c r="J110">
        <v>0.1</v>
      </c>
      <c r="K110">
        <v>0.1</v>
      </c>
      <c r="L110">
        <v>0.1</v>
      </c>
      <c r="M110">
        <v>0.1</v>
      </c>
      <c r="N110">
        <v>0.1</v>
      </c>
      <c r="O110">
        <v>0.1</v>
      </c>
      <c r="P110">
        <v>0.1</v>
      </c>
      <c r="Q110">
        <v>0.1</v>
      </c>
      <c r="R110">
        <v>0.1</v>
      </c>
      <c r="S110">
        <v>0.1</v>
      </c>
      <c r="T110">
        <v>0.1</v>
      </c>
      <c r="U110">
        <v>0.1</v>
      </c>
      <c r="V110">
        <v>0.1</v>
      </c>
      <c r="W110">
        <v>0.1</v>
      </c>
      <c r="X110">
        <v>0.1</v>
      </c>
      <c r="Y110">
        <v>0.1</v>
      </c>
      <c r="Z110">
        <v>0.1</v>
      </c>
      <c r="AA110">
        <v>0.1</v>
      </c>
      <c r="AB110">
        <v>0.05</v>
      </c>
      <c r="AC110">
        <v>0.05</v>
      </c>
      <c r="AD110">
        <v>0</v>
      </c>
    </row>
    <row r="111" spans="1:30" x14ac:dyDescent="0.3">
      <c r="A111" t="str">
        <v>Electrical Engineer</v>
      </c>
      <c r="B111" t="str">
        <v>Solar</v>
      </c>
      <c r="C111" t="str">
        <v xml:space="preserve">Engineering </v>
      </c>
      <c r="D111">
        <v>0.05</v>
      </c>
      <c r="E111">
        <v>0.05</v>
      </c>
      <c r="F111">
        <v>0.05</v>
      </c>
      <c r="G111">
        <v>0.05</v>
      </c>
      <c r="H111">
        <v>0.05</v>
      </c>
      <c r="I111">
        <v>0.05</v>
      </c>
      <c r="J111">
        <v>0.1</v>
      </c>
      <c r="K111">
        <v>0.1</v>
      </c>
      <c r="L111">
        <v>0.1</v>
      </c>
      <c r="M111">
        <v>0.1</v>
      </c>
      <c r="N111">
        <v>0.1</v>
      </c>
      <c r="O111">
        <v>0.1</v>
      </c>
      <c r="P111">
        <v>0.1</v>
      </c>
      <c r="Q111">
        <v>0.1</v>
      </c>
      <c r="R111">
        <v>0.1</v>
      </c>
      <c r="S111">
        <v>0.1</v>
      </c>
      <c r="T111">
        <v>0.1</v>
      </c>
      <c r="U111">
        <v>0.1</v>
      </c>
      <c r="V111">
        <v>0.1</v>
      </c>
      <c r="W111">
        <v>0.1</v>
      </c>
      <c r="X111">
        <v>0.1</v>
      </c>
      <c r="Y111">
        <v>0.1</v>
      </c>
      <c r="Z111">
        <v>0.1</v>
      </c>
      <c r="AA111">
        <v>0.1</v>
      </c>
      <c r="AB111">
        <v>0.05</v>
      </c>
      <c r="AC111">
        <v>0.05</v>
      </c>
      <c r="AD111">
        <v>0</v>
      </c>
    </row>
    <row r="112" spans="1:30" x14ac:dyDescent="0.3">
      <c r="A112" t="str">
        <v>Mechanical Engineer</v>
      </c>
      <c r="B112" t="str">
        <v>Solar</v>
      </c>
      <c r="C112" t="str">
        <v xml:space="preserve">Engineering </v>
      </c>
      <c r="D112">
        <v>0.05</v>
      </c>
      <c r="E112">
        <v>0.05</v>
      </c>
      <c r="F112">
        <v>0.05</v>
      </c>
      <c r="G112">
        <v>0.05</v>
      </c>
      <c r="H112">
        <v>0.05</v>
      </c>
      <c r="I112">
        <v>0.05</v>
      </c>
      <c r="J112">
        <v>0.1</v>
      </c>
      <c r="K112">
        <v>0.1</v>
      </c>
      <c r="L112">
        <v>0.1</v>
      </c>
      <c r="M112">
        <v>0.1</v>
      </c>
      <c r="N112">
        <v>0.1</v>
      </c>
      <c r="O112">
        <v>0.1</v>
      </c>
      <c r="P112">
        <v>0.1</v>
      </c>
      <c r="Q112">
        <v>0.1</v>
      </c>
      <c r="R112">
        <v>0.1</v>
      </c>
      <c r="S112">
        <v>0.1</v>
      </c>
      <c r="T112">
        <v>0.1</v>
      </c>
      <c r="U112">
        <v>0.1</v>
      </c>
      <c r="V112">
        <v>0.1</v>
      </c>
      <c r="W112">
        <v>0.1</v>
      </c>
      <c r="X112">
        <v>0.1</v>
      </c>
      <c r="Y112">
        <v>0.1</v>
      </c>
      <c r="Z112">
        <v>0.1</v>
      </c>
      <c r="AA112">
        <v>0.1</v>
      </c>
      <c r="AB112">
        <v>0.05</v>
      </c>
      <c r="AC112">
        <v>0.05</v>
      </c>
      <c r="AD112">
        <v>0</v>
      </c>
    </row>
    <row r="113" spans="1:30" x14ac:dyDescent="0.3">
      <c r="A113" t="str">
        <v>Structural Engineer</v>
      </c>
      <c r="B113" t="str">
        <v>Solar</v>
      </c>
      <c r="C113" t="str">
        <v xml:space="preserve">Engineering </v>
      </c>
      <c r="D113">
        <v>0.05</v>
      </c>
      <c r="E113">
        <v>0.05</v>
      </c>
      <c r="F113">
        <v>0.05</v>
      </c>
      <c r="G113">
        <v>0.05</v>
      </c>
      <c r="H113">
        <v>0.05</v>
      </c>
      <c r="I113">
        <v>0.05</v>
      </c>
      <c r="J113">
        <v>0.1</v>
      </c>
      <c r="K113">
        <v>0.1</v>
      </c>
      <c r="L113">
        <v>0.1</v>
      </c>
      <c r="M113">
        <v>0.1</v>
      </c>
      <c r="N113">
        <v>0.1</v>
      </c>
      <c r="O113">
        <v>0.1</v>
      </c>
      <c r="P113">
        <v>0.1</v>
      </c>
      <c r="Q113">
        <v>0.1</v>
      </c>
      <c r="R113">
        <v>0.1</v>
      </c>
      <c r="S113">
        <v>0.1</v>
      </c>
      <c r="T113">
        <v>0.1</v>
      </c>
      <c r="U113">
        <v>0.1</v>
      </c>
      <c r="V113">
        <v>0.1</v>
      </c>
      <c r="W113">
        <v>0.1</v>
      </c>
      <c r="X113">
        <v>0.1</v>
      </c>
      <c r="Y113">
        <v>0.1</v>
      </c>
      <c r="Z113">
        <v>0.1</v>
      </c>
      <c r="AA113">
        <v>0.1</v>
      </c>
      <c r="AB113">
        <v>0.05</v>
      </c>
      <c r="AC113">
        <v>0.05</v>
      </c>
      <c r="AD113">
        <v>0</v>
      </c>
    </row>
    <row r="114" spans="1:30" x14ac:dyDescent="0.3">
      <c r="A114" t="str">
        <v>Construction Manager</v>
      </c>
      <c r="B114" t="str">
        <v>Solar</v>
      </c>
      <c r="C114" t="str">
        <v>Construction Monitoring</v>
      </c>
      <c r="D114">
        <v>0</v>
      </c>
      <c r="E114">
        <v>0</v>
      </c>
      <c r="F114">
        <v>0</v>
      </c>
      <c r="G114">
        <v>0.25</v>
      </c>
      <c r="H114">
        <v>0.25</v>
      </c>
      <c r="I114">
        <v>0.25</v>
      </c>
      <c r="J114">
        <v>0.5</v>
      </c>
      <c r="K114">
        <v>0.5</v>
      </c>
      <c r="L114">
        <v>0.5</v>
      </c>
      <c r="M114">
        <v>0.75</v>
      </c>
      <c r="N114">
        <v>0.75</v>
      </c>
      <c r="O114">
        <v>0.75</v>
      </c>
      <c r="P114">
        <v>0.75</v>
      </c>
      <c r="Q114">
        <v>0.75</v>
      </c>
      <c r="R114">
        <v>0.75</v>
      </c>
      <c r="S114">
        <v>0.75</v>
      </c>
      <c r="T114">
        <v>0.75</v>
      </c>
      <c r="U114">
        <v>0.75</v>
      </c>
      <c r="V114">
        <v>0.75</v>
      </c>
      <c r="W114">
        <v>0.75</v>
      </c>
      <c r="X114">
        <v>0.75</v>
      </c>
      <c r="Y114">
        <v>0.75</v>
      </c>
      <c r="Z114">
        <v>0.75</v>
      </c>
      <c r="AA114">
        <v>0.75</v>
      </c>
      <c r="AB114">
        <v>0.5</v>
      </c>
      <c r="AC114">
        <v>0.4</v>
      </c>
      <c r="AD114">
        <v>0.25</v>
      </c>
    </row>
    <row r="115" spans="1:30" x14ac:dyDescent="0.3">
      <c r="A115" t="str">
        <v>H&amp;S Field</v>
      </c>
      <c r="B115" t="str">
        <v>Solar</v>
      </c>
      <c r="C115" t="str">
        <v>Construction Monitoring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0.5</v>
      </c>
      <c r="Q115">
        <v>0.5</v>
      </c>
      <c r="R115">
        <v>0.5</v>
      </c>
      <c r="S115">
        <v>0.5</v>
      </c>
      <c r="T115">
        <v>0.5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0.25</v>
      </c>
      <c r="AC115">
        <v>0.15</v>
      </c>
      <c r="AD115">
        <v>0</v>
      </c>
    </row>
    <row r="116" spans="1:30" x14ac:dyDescent="0.3">
      <c r="A116" t="str">
        <v>Estimator</v>
      </c>
      <c r="B116" t="str">
        <v>Solar</v>
      </c>
      <c r="C116" t="str">
        <v>Project Controls</v>
      </c>
      <c r="D116">
        <v>0.1</v>
      </c>
      <c r="E116">
        <v>0.1</v>
      </c>
      <c r="F116">
        <v>0.1</v>
      </c>
      <c r="G116">
        <v>0.1</v>
      </c>
      <c r="H116">
        <v>0.1</v>
      </c>
      <c r="I116">
        <v>0.1</v>
      </c>
      <c r="J116">
        <v>0.1</v>
      </c>
      <c r="K116">
        <v>0.1</v>
      </c>
      <c r="L116">
        <v>0.1</v>
      </c>
      <c r="M116">
        <v>0.1</v>
      </c>
      <c r="N116">
        <v>0.1</v>
      </c>
      <c r="O116">
        <v>0.1</v>
      </c>
      <c r="P116">
        <v>0.1</v>
      </c>
      <c r="Q116">
        <v>0.1</v>
      </c>
      <c r="R116">
        <v>0.1</v>
      </c>
      <c r="S116">
        <v>0.1</v>
      </c>
      <c r="T116">
        <v>0.1</v>
      </c>
      <c r="U116">
        <v>0.1</v>
      </c>
      <c r="V116">
        <v>0.1</v>
      </c>
      <c r="W116">
        <v>0.1</v>
      </c>
      <c r="X116">
        <v>0.1</v>
      </c>
      <c r="Y116">
        <v>0.1</v>
      </c>
      <c r="Z116">
        <v>0.1</v>
      </c>
      <c r="AA116">
        <v>0.1</v>
      </c>
      <c r="AB116">
        <v>0.1</v>
      </c>
      <c r="AC116">
        <v>0.1</v>
      </c>
      <c r="AD116">
        <v>0.1</v>
      </c>
    </row>
    <row r="117" spans="1:30" x14ac:dyDescent="0.3">
      <c r="A117" t="str">
        <v>Risk Analyst</v>
      </c>
      <c r="B117" t="str">
        <v>Solar</v>
      </c>
      <c r="C117" t="str">
        <v>Project Controls</v>
      </c>
      <c r="D117">
        <v>0.05</v>
      </c>
      <c r="E117">
        <v>0.05</v>
      </c>
      <c r="F117">
        <v>0.05</v>
      </c>
      <c r="G117">
        <v>0.05</v>
      </c>
      <c r="H117">
        <v>0.05</v>
      </c>
      <c r="I117">
        <v>0.05</v>
      </c>
      <c r="J117">
        <v>0.05</v>
      </c>
      <c r="K117">
        <v>0.05</v>
      </c>
      <c r="L117">
        <v>0.05</v>
      </c>
      <c r="M117">
        <v>0.05</v>
      </c>
      <c r="N117">
        <v>0.05</v>
      </c>
      <c r="O117">
        <v>0.05</v>
      </c>
      <c r="P117">
        <v>0.05</v>
      </c>
      <c r="Q117">
        <v>0.05</v>
      </c>
      <c r="R117">
        <v>0.05</v>
      </c>
      <c r="S117">
        <v>0.05</v>
      </c>
      <c r="T117">
        <v>0.05</v>
      </c>
      <c r="U117">
        <v>0.05</v>
      </c>
      <c r="V117">
        <v>0.05</v>
      </c>
      <c r="W117">
        <v>0.05</v>
      </c>
      <c r="X117">
        <v>0.05</v>
      </c>
      <c r="Y117">
        <v>0.05</v>
      </c>
      <c r="Z117">
        <v>0.05</v>
      </c>
      <c r="AA117">
        <v>0.05</v>
      </c>
      <c r="AB117">
        <v>0.05</v>
      </c>
      <c r="AC117">
        <v>0</v>
      </c>
      <c r="AD117">
        <v>0</v>
      </c>
    </row>
    <row r="118" spans="1:30" x14ac:dyDescent="0.3">
      <c r="A118" t="str">
        <v>Document Control Specialist</v>
      </c>
      <c r="B118" t="str">
        <v>Solar</v>
      </c>
      <c r="C118" t="str">
        <v>Project Controls</v>
      </c>
      <c r="D118">
        <v>0.15</v>
      </c>
      <c r="E118">
        <v>0.15</v>
      </c>
      <c r="F118">
        <v>0.15</v>
      </c>
      <c r="G118">
        <v>0.15</v>
      </c>
      <c r="H118">
        <v>0.15</v>
      </c>
      <c r="I118">
        <v>0.15</v>
      </c>
      <c r="J118">
        <v>0.15</v>
      </c>
      <c r="K118">
        <v>0.15</v>
      </c>
      <c r="L118">
        <v>0.15</v>
      </c>
      <c r="M118">
        <v>0.15</v>
      </c>
      <c r="N118">
        <v>0.15</v>
      </c>
      <c r="O118">
        <v>0.15</v>
      </c>
      <c r="P118">
        <v>0.15</v>
      </c>
      <c r="Q118">
        <v>0.15</v>
      </c>
      <c r="R118">
        <v>0.15</v>
      </c>
      <c r="S118">
        <v>0.15</v>
      </c>
      <c r="T118">
        <v>0.15</v>
      </c>
      <c r="U118">
        <v>0.15</v>
      </c>
      <c r="V118">
        <v>0.15</v>
      </c>
      <c r="W118">
        <v>0.15</v>
      </c>
      <c r="X118">
        <v>0.15</v>
      </c>
      <c r="Y118">
        <v>0.15</v>
      </c>
      <c r="Z118">
        <v>0.15</v>
      </c>
      <c r="AA118">
        <v>0.15</v>
      </c>
      <c r="AB118">
        <v>0.15</v>
      </c>
      <c r="AC118">
        <v>0.15</v>
      </c>
      <c r="AD118">
        <v>0.15</v>
      </c>
    </row>
    <row r="119" spans="1:30" x14ac:dyDescent="0.3">
      <c r="A119" t="str">
        <v>Scheduler</v>
      </c>
      <c r="B119" t="str">
        <v>Solar</v>
      </c>
      <c r="C119" t="str">
        <v>Project Controls</v>
      </c>
      <c r="D119">
        <v>0.1</v>
      </c>
      <c r="E119">
        <v>0.1</v>
      </c>
      <c r="F119">
        <v>0.1</v>
      </c>
      <c r="G119">
        <v>0.1</v>
      </c>
      <c r="H119">
        <v>0.1</v>
      </c>
      <c r="I119">
        <v>0.1</v>
      </c>
      <c r="J119">
        <v>0.1</v>
      </c>
      <c r="K119">
        <v>0.1</v>
      </c>
      <c r="L119">
        <v>0.1</v>
      </c>
      <c r="M119">
        <v>0.1</v>
      </c>
      <c r="N119">
        <v>0.1</v>
      </c>
      <c r="O119">
        <v>0.1</v>
      </c>
      <c r="P119">
        <v>0.1</v>
      </c>
      <c r="Q119">
        <v>0.1</v>
      </c>
      <c r="R119">
        <v>0.1</v>
      </c>
      <c r="S119">
        <v>0.1</v>
      </c>
      <c r="T119">
        <v>0.1</v>
      </c>
      <c r="U119">
        <v>0.1</v>
      </c>
      <c r="V119">
        <v>0.1</v>
      </c>
      <c r="W119">
        <v>0.1</v>
      </c>
      <c r="X119">
        <v>0.1</v>
      </c>
      <c r="Y119">
        <v>0.1</v>
      </c>
      <c r="Z119">
        <v>0.1</v>
      </c>
      <c r="AA119">
        <v>0.1</v>
      </c>
      <c r="AB119">
        <v>0.1</v>
      </c>
      <c r="AC119">
        <v>0.1</v>
      </c>
      <c r="AD119">
        <v>0.1</v>
      </c>
    </row>
    <row r="120" spans="1:30" x14ac:dyDescent="0.3">
      <c r="A120" t="str">
        <v>Cost Controls</v>
      </c>
      <c r="B120" t="str">
        <v>Solar</v>
      </c>
      <c r="C120" t="str">
        <v>Project Controls</v>
      </c>
      <c r="D120">
        <v>0.1</v>
      </c>
      <c r="E120">
        <v>0.1</v>
      </c>
      <c r="F120">
        <v>0.1</v>
      </c>
      <c r="G120">
        <v>0.1</v>
      </c>
      <c r="H120">
        <v>0.1</v>
      </c>
      <c r="I120">
        <v>0.1</v>
      </c>
      <c r="J120">
        <v>0.1</v>
      </c>
      <c r="K120">
        <v>0.1</v>
      </c>
      <c r="L120">
        <v>0.1</v>
      </c>
      <c r="M120">
        <v>0.1</v>
      </c>
      <c r="N120">
        <v>0.1</v>
      </c>
      <c r="O120">
        <v>0.1</v>
      </c>
      <c r="P120">
        <v>0.1</v>
      </c>
      <c r="Q120">
        <v>0.1</v>
      </c>
      <c r="R120">
        <v>0.1</v>
      </c>
      <c r="S120">
        <v>0.1</v>
      </c>
      <c r="T120">
        <v>0.1</v>
      </c>
      <c r="U120">
        <v>0.1</v>
      </c>
      <c r="V120">
        <v>0.1</v>
      </c>
      <c r="W120">
        <v>0.1</v>
      </c>
      <c r="X120">
        <v>0.1</v>
      </c>
      <c r="Y120">
        <v>0.1</v>
      </c>
      <c r="Z120">
        <v>0.1</v>
      </c>
      <c r="AA120">
        <v>0.1</v>
      </c>
      <c r="AB120">
        <v>0.1</v>
      </c>
      <c r="AC120">
        <v>0.1</v>
      </c>
      <c r="AD120">
        <v>0.1</v>
      </c>
    </row>
    <row r="121" spans="1:30" x14ac:dyDescent="0.3">
      <c r="A121" t="str">
        <v>Project Manager</v>
      </c>
      <c r="B121" t="str">
        <v>BESS</v>
      </c>
      <c r="C121" t="str">
        <v>Project Management</v>
      </c>
      <c r="D121">
        <v>0.25</v>
      </c>
      <c r="E121">
        <v>0.25</v>
      </c>
      <c r="F121">
        <v>0.25</v>
      </c>
      <c r="G121">
        <v>0.45</v>
      </c>
      <c r="H121">
        <v>0.45</v>
      </c>
      <c r="I121">
        <v>0.45</v>
      </c>
      <c r="J121">
        <v>0.65</v>
      </c>
      <c r="K121">
        <v>0.65</v>
      </c>
      <c r="L121">
        <v>0.65</v>
      </c>
      <c r="M121">
        <v>0.85</v>
      </c>
      <c r="N121">
        <v>0.85</v>
      </c>
      <c r="O121">
        <v>0.85</v>
      </c>
      <c r="P121">
        <v>0.85</v>
      </c>
      <c r="Q121">
        <v>0.85</v>
      </c>
      <c r="R121">
        <v>0.85</v>
      </c>
      <c r="S121">
        <v>0.85</v>
      </c>
      <c r="T121">
        <v>0.85</v>
      </c>
      <c r="U121">
        <v>0.85</v>
      </c>
      <c r="V121">
        <v>0.85</v>
      </c>
      <c r="W121">
        <v>0.85</v>
      </c>
      <c r="X121">
        <v>0.85</v>
      </c>
      <c r="Y121">
        <v>0.85</v>
      </c>
      <c r="Z121">
        <v>0.85</v>
      </c>
      <c r="AA121">
        <v>0.85</v>
      </c>
      <c r="AB121">
        <v>0.5</v>
      </c>
      <c r="AC121">
        <v>0.4</v>
      </c>
      <c r="AD121">
        <v>0.25</v>
      </c>
    </row>
    <row r="122" spans="1:30" x14ac:dyDescent="0.3">
      <c r="A122" t="str">
        <v>Project Engineer</v>
      </c>
      <c r="B122" t="str">
        <v>BESS</v>
      </c>
      <c r="C122" t="str">
        <v>Project Management</v>
      </c>
      <c r="D122">
        <v>0.05</v>
      </c>
      <c r="E122">
        <v>0.05</v>
      </c>
      <c r="F122">
        <v>0.05</v>
      </c>
      <c r="G122">
        <v>0.05</v>
      </c>
      <c r="H122">
        <v>0.05</v>
      </c>
      <c r="I122">
        <v>0.05</v>
      </c>
      <c r="J122">
        <v>0.05</v>
      </c>
      <c r="K122">
        <v>0.05</v>
      </c>
      <c r="L122">
        <v>0.05</v>
      </c>
      <c r="M122">
        <v>0.05</v>
      </c>
      <c r="N122">
        <v>0.05</v>
      </c>
      <c r="O122">
        <v>0.05</v>
      </c>
      <c r="P122">
        <v>0.05</v>
      </c>
      <c r="Q122">
        <v>0.05</v>
      </c>
      <c r="R122">
        <v>0.05</v>
      </c>
      <c r="S122">
        <v>0.05</v>
      </c>
      <c r="T122">
        <v>0.05</v>
      </c>
      <c r="U122">
        <v>0.05</v>
      </c>
      <c r="V122">
        <v>0.05</v>
      </c>
      <c r="W122">
        <v>0.05</v>
      </c>
      <c r="X122">
        <v>0.05</v>
      </c>
      <c r="Y122">
        <v>0.05</v>
      </c>
      <c r="Z122">
        <v>0.05</v>
      </c>
      <c r="AA122">
        <v>0.05</v>
      </c>
      <c r="AB122">
        <v>0.05</v>
      </c>
      <c r="AC122">
        <v>0.05</v>
      </c>
      <c r="AD122">
        <v>0.05</v>
      </c>
    </row>
    <row r="123" spans="1:30" x14ac:dyDescent="0.3">
      <c r="A123" t="str">
        <v>Project Coordinator</v>
      </c>
      <c r="B123" t="str">
        <v>BESS</v>
      </c>
      <c r="C123" t="str">
        <v>Project Management</v>
      </c>
      <c r="D123">
        <v>0.05</v>
      </c>
      <c r="E123">
        <v>0.05</v>
      </c>
      <c r="F123">
        <v>0.1</v>
      </c>
      <c r="G123">
        <v>0.1</v>
      </c>
      <c r="H123">
        <v>0.15</v>
      </c>
      <c r="I123">
        <v>0.15</v>
      </c>
      <c r="J123">
        <v>0.25</v>
      </c>
      <c r="K123">
        <v>0.25</v>
      </c>
      <c r="L123">
        <v>0.25</v>
      </c>
      <c r="M123">
        <v>0.25</v>
      </c>
      <c r="N123">
        <v>0.25</v>
      </c>
      <c r="O123">
        <v>0.25</v>
      </c>
      <c r="P123">
        <v>0.25</v>
      </c>
      <c r="Q123">
        <v>0.25</v>
      </c>
      <c r="R123">
        <v>0.25</v>
      </c>
      <c r="S123">
        <v>0.25</v>
      </c>
      <c r="T123">
        <v>0.25</v>
      </c>
      <c r="U123">
        <v>0.25</v>
      </c>
      <c r="V123">
        <v>0.25</v>
      </c>
      <c r="W123">
        <v>0.25</v>
      </c>
      <c r="X123">
        <v>0.25</v>
      </c>
      <c r="Y123">
        <v>0.25</v>
      </c>
      <c r="Z123">
        <v>0.25</v>
      </c>
      <c r="AA123">
        <v>0.25</v>
      </c>
      <c r="AB123">
        <v>0.25</v>
      </c>
      <c r="AC123">
        <v>0.25</v>
      </c>
      <c r="AD123">
        <v>0.25</v>
      </c>
    </row>
    <row r="124" spans="1:30" x14ac:dyDescent="0.3">
      <c r="A124" t="str">
        <v>Civil Engineer</v>
      </c>
      <c r="B124" t="str">
        <v>BESS</v>
      </c>
      <c r="C124" t="str">
        <v xml:space="preserve">Engineering </v>
      </c>
      <c r="D124">
        <v>0.05</v>
      </c>
      <c r="E124">
        <v>0.05</v>
      </c>
      <c r="F124">
        <v>0.05</v>
      </c>
      <c r="G124">
        <v>0.05</v>
      </c>
      <c r="H124">
        <v>0.05</v>
      </c>
      <c r="I124">
        <v>0.05</v>
      </c>
      <c r="J124">
        <v>0.1</v>
      </c>
      <c r="K124">
        <v>0.1</v>
      </c>
      <c r="L124">
        <v>0.1</v>
      </c>
      <c r="M124">
        <v>0.1</v>
      </c>
      <c r="N124">
        <v>0.1</v>
      </c>
      <c r="O124">
        <v>0.1</v>
      </c>
      <c r="P124">
        <v>0.1</v>
      </c>
      <c r="Q124">
        <v>0.1</v>
      </c>
      <c r="R124">
        <v>0.1</v>
      </c>
      <c r="S124">
        <v>0.1</v>
      </c>
      <c r="T124">
        <v>0.1</v>
      </c>
      <c r="U124">
        <v>0.1</v>
      </c>
      <c r="V124">
        <v>0.1</v>
      </c>
      <c r="W124">
        <v>0.1</v>
      </c>
      <c r="X124">
        <v>0.1</v>
      </c>
      <c r="Y124">
        <v>0.1</v>
      </c>
      <c r="Z124">
        <v>0.1</v>
      </c>
      <c r="AA124">
        <v>0.1</v>
      </c>
      <c r="AB124">
        <v>0.05</v>
      </c>
      <c r="AC124">
        <v>0.05</v>
      </c>
      <c r="AD124">
        <v>0</v>
      </c>
    </row>
    <row r="125" spans="1:30" x14ac:dyDescent="0.3">
      <c r="A125" t="str">
        <v>I&amp;C Engineer</v>
      </c>
      <c r="B125" t="str">
        <v>BESS</v>
      </c>
      <c r="C125" t="str">
        <v xml:space="preserve">Engineering </v>
      </c>
      <c r="D125">
        <v>0.05</v>
      </c>
      <c r="E125">
        <v>0.05</v>
      </c>
      <c r="F125">
        <v>0.05</v>
      </c>
      <c r="G125">
        <v>0.05</v>
      </c>
      <c r="H125">
        <v>0.05</v>
      </c>
      <c r="I125">
        <v>0.05</v>
      </c>
      <c r="J125">
        <v>0.1</v>
      </c>
      <c r="K125">
        <v>0.1</v>
      </c>
      <c r="L125">
        <v>0.1</v>
      </c>
      <c r="M125">
        <v>0.1</v>
      </c>
      <c r="N125">
        <v>0.1</v>
      </c>
      <c r="O125">
        <v>0.1</v>
      </c>
      <c r="P125">
        <v>0.1</v>
      </c>
      <c r="Q125">
        <v>0.1</v>
      </c>
      <c r="R125">
        <v>0.1</v>
      </c>
      <c r="S125">
        <v>0.1</v>
      </c>
      <c r="T125">
        <v>0.1</v>
      </c>
      <c r="U125">
        <v>0.1</v>
      </c>
      <c r="V125">
        <v>0.1</v>
      </c>
      <c r="W125">
        <v>0.1</v>
      </c>
      <c r="X125">
        <v>0.1</v>
      </c>
      <c r="Y125">
        <v>0.1</v>
      </c>
      <c r="Z125">
        <v>0.1</v>
      </c>
      <c r="AA125">
        <v>0.1</v>
      </c>
      <c r="AB125">
        <v>0.05</v>
      </c>
      <c r="AC125">
        <v>0.05</v>
      </c>
      <c r="AD125">
        <v>0</v>
      </c>
    </row>
    <row r="126" spans="1:30" x14ac:dyDescent="0.3">
      <c r="A126" t="str">
        <v>Electrical Engineer</v>
      </c>
      <c r="B126" t="str">
        <v>BESS</v>
      </c>
      <c r="C126" t="str">
        <v xml:space="preserve">Engineering </v>
      </c>
      <c r="D126">
        <v>0.05</v>
      </c>
      <c r="E126">
        <v>0.05</v>
      </c>
      <c r="F126">
        <v>0.05</v>
      </c>
      <c r="G126">
        <v>0.05</v>
      </c>
      <c r="H126">
        <v>0.05</v>
      </c>
      <c r="I126">
        <v>0.05</v>
      </c>
      <c r="J126">
        <v>0.1</v>
      </c>
      <c r="K126">
        <v>0.1</v>
      </c>
      <c r="L126">
        <v>0.1</v>
      </c>
      <c r="M126">
        <v>0.1</v>
      </c>
      <c r="N126">
        <v>0.1</v>
      </c>
      <c r="O126">
        <v>0.1</v>
      </c>
      <c r="P126">
        <v>0.1</v>
      </c>
      <c r="Q126">
        <v>0.1</v>
      </c>
      <c r="R126">
        <v>0.1</v>
      </c>
      <c r="S126">
        <v>0.1</v>
      </c>
      <c r="T126">
        <v>0.1</v>
      </c>
      <c r="U126">
        <v>0.1</v>
      </c>
      <c r="V126">
        <v>0.1</v>
      </c>
      <c r="W126">
        <v>0.1</v>
      </c>
      <c r="X126">
        <v>0.1</v>
      </c>
      <c r="Y126">
        <v>0.1</v>
      </c>
      <c r="Z126">
        <v>0.1</v>
      </c>
      <c r="AA126">
        <v>0.1</v>
      </c>
      <c r="AB126">
        <v>0.05</v>
      </c>
      <c r="AC126">
        <v>0.05</v>
      </c>
      <c r="AD126">
        <v>0</v>
      </c>
    </row>
    <row r="127" spans="1:30" x14ac:dyDescent="0.3">
      <c r="A127" t="str">
        <v>Mechanical Engineer</v>
      </c>
      <c r="B127" t="str">
        <v>BESS</v>
      </c>
      <c r="C127" t="str">
        <v xml:space="preserve">Engineering </v>
      </c>
      <c r="D127">
        <v>0.05</v>
      </c>
      <c r="E127">
        <v>0.05</v>
      </c>
      <c r="F127">
        <v>0.05</v>
      </c>
      <c r="G127">
        <v>0.05</v>
      </c>
      <c r="H127">
        <v>0.05</v>
      </c>
      <c r="I127">
        <v>0.05</v>
      </c>
      <c r="J127">
        <v>0.1</v>
      </c>
      <c r="K127">
        <v>0.1</v>
      </c>
      <c r="L127">
        <v>0.1</v>
      </c>
      <c r="M127">
        <v>0.1</v>
      </c>
      <c r="N127">
        <v>0.1</v>
      </c>
      <c r="O127">
        <v>0.1</v>
      </c>
      <c r="P127">
        <v>0.1</v>
      </c>
      <c r="Q127">
        <v>0.1</v>
      </c>
      <c r="R127">
        <v>0.1</v>
      </c>
      <c r="S127">
        <v>0.1</v>
      </c>
      <c r="T127">
        <v>0.1</v>
      </c>
      <c r="U127">
        <v>0.1</v>
      </c>
      <c r="V127">
        <v>0.1</v>
      </c>
      <c r="W127">
        <v>0.1</v>
      </c>
      <c r="X127">
        <v>0.1</v>
      </c>
      <c r="Y127">
        <v>0.1</v>
      </c>
      <c r="Z127">
        <v>0.1</v>
      </c>
      <c r="AA127">
        <v>0.1</v>
      </c>
      <c r="AB127">
        <v>0.05</v>
      </c>
      <c r="AC127">
        <v>0.05</v>
      </c>
      <c r="AD127">
        <v>0</v>
      </c>
    </row>
    <row r="128" spans="1:30" x14ac:dyDescent="0.3">
      <c r="A128" t="str">
        <v>Structural Engineer</v>
      </c>
      <c r="B128" t="str">
        <v>BESS</v>
      </c>
      <c r="C128" t="str">
        <v xml:space="preserve">Engineering </v>
      </c>
      <c r="D128">
        <v>0.05</v>
      </c>
      <c r="E128">
        <v>0.05</v>
      </c>
      <c r="F128">
        <v>0.05</v>
      </c>
      <c r="G128">
        <v>0.05</v>
      </c>
      <c r="H128">
        <v>0.05</v>
      </c>
      <c r="I128">
        <v>0.05</v>
      </c>
      <c r="J128">
        <v>0.1</v>
      </c>
      <c r="K128">
        <v>0.1</v>
      </c>
      <c r="L128">
        <v>0.1</v>
      </c>
      <c r="M128">
        <v>0.1</v>
      </c>
      <c r="N128">
        <v>0.1</v>
      </c>
      <c r="O128">
        <v>0.1</v>
      </c>
      <c r="P128">
        <v>0.1</v>
      </c>
      <c r="Q128">
        <v>0.1</v>
      </c>
      <c r="R128">
        <v>0.1</v>
      </c>
      <c r="S128">
        <v>0.1</v>
      </c>
      <c r="T128">
        <v>0.1</v>
      </c>
      <c r="U128">
        <v>0.1</v>
      </c>
      <c r="V128">
        <v>0.1</v>
      </c>
      <c r="W128">
        <v>0.1</v>
      </c>
      <c r="X128">
        <v>0.1</v>
      </c>
      <c r="Y128">
        <v>0.1</v>
      </c>
      <c r="Z128">
        <v>0.1</v>
      </c>
      <c r="AA128">
        <v>0.1</v>
      </c>
      <c r="AB128">
        <v>0.05</v>
      </c>
      <c r="AC128">
        <v>0.05</v>
      </c>
      <c r="AD128">
        <v>0</v>
      </c>
    </row>
    <row r="129" spans="1:30" x14ac:dyDescent="0.3">
      <c r="A129" t="str">
        <v>Construction Manager</v>
      </c>
      <c r="B129" t="str">
        <v>BESS</v>
      </c>
      <c r="C129" t="str">
        <v>Construction Monitoring</v>
      </c>
      <c r="D129">
        <v>0</v>
      </c>
      <c r="E129">
        <v>0</v>
      </c>
      <c r="F129">
        <v>0</v>
      </c>
      <c r="G129">
        <v>0.25</v>
      </c>
      <c r="H129">
        <v>0.25</v>
      </c>
      <c r="I129">
        <v>0.25</v>
      </c>
      <c r="J129">
        <v>0.5</v>
      </c>
      <c r="K129">
        <v>0.5</v>
      </c>
      <c r="L129">
        <v>0.5</v>
      </c>
      <c r="M129">
        <v>0.75</v>
      </c>
      <c r="N129">
        <v>0.75</v>
      </c>
      <c r="O129">
        <v>0.75</v>
      </c>
      <c r="P129">
        <v>0.75</v>
      </c>
      <c r="Q129">
        <v>0.75</v>
      </c>
      <c r="R129">
        <v>0.75</v>
      </c>
      <c r="S129">
        <v>0.75</v>
      </c>
      <c r="T129">
        <v>0.75</v>
      </c>
      <c r="U129">
        <v>0.75</v>
      </c>
      <c r="V129">
        <v>0.75</v>
      </c>
      <c r="W129">
        <v>0.75</v>
      </c>
      <c r="X129">
        <v>0.75</v>
      </c>
      <c r="Y129">
        <v>0.75</v>
      </c>
      <c r="Z129">
        <v>0.75</v>
      </c>
      <c r="AA129">
        <v>0.75</v>
      </c>
      <c r="AB129">
        <v>0.5</v>
      </c>
      <c r="AC129">
        <v>0.4</v>
      </c>
      <c r="AD129">
        <v>0.25</v>
      </c>
    </row>
    <row r="130" spans="1:30" x14ac:dyDescent="0.3">
      <c r="A130" t="str">
        <v>H&amp;S Field</v>
      </c>
      <c r="B130" t="str">
        <v>BESS</v>
      </c>
      <c r="C130" t="str">
        <v>Construction Monitoring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0.5</v>
      </c>
      <c r="Q130">
        <v>0.5</v>
      </c>
      <c r="R130">
        <v>0.5</v>
      </c>
      <c r="S130">
        <v>0.5</v>
      </c>
      <c r="T130">
        <v>0.5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0.25</v>
      </c>
      <c r="AC130">
        <v>0.15</v>
      </c>
      <c r="AD130">
        <v>0</v>
      </c>
    </row>
    <row r="131" spans="1:30" x14ac:dyDescent="0.3">
      <c r="A131" t="str">
        <v>Estimator</v>
      </c>
      <c r="B131" t="str">
        <v>BESS</v>
      </c>
      <c r="C131" t="str">
        <v>Project Controls</v>
      </c>
      <c r="D131">
        <v>0.1</v>
      </c>
      <c r="E131">
        <v>0.1</v>
      </c>
      <c r="F131">
        <v>0.1</v>
      </c>
      <c r="G131">
        <v>0.1</v>
      </c>
      <c r="H131">
        <v>0.1</v>
      </c>
      <c r="I131">
        <v>0.1</v>
      </c>
      <c r="J131">
        <v>0.1</v>
      </c>
      <c r="K131">
        <v>0.1</v>
      </c>
      <c r="L131">
        <v>0.1</v>
      </c>
      <c r="M131">
        <v>0.1</v>
      </c>
      <c r="N131">
        <v>0.1</v>
      </c>
      <c r="O131">
        <v>0.1</v>
      </c>
      <c r="P131">
        <v>0.1</v>
      </c>
      <c r="Q131">
        <v>0.1</v>
      </c>
      <c r="R131">
        <v>0.1</v>
      </c>
      <c r="S131">
        <v>0.1</v>
      </c>
      <c r="T131">
        <v>0.1</v>
      </c>
      <c r="U131">
        <v>0.1</v>
      </c>
      <c r="V131">
        <v>0.1</v>
      </c>
      <c r="W131">
        <v>0.1</v>
      </c>
      <c r="X131">
        <v>0.1</v>
      </c>
      <c r="Y131">
        <v>0.1</v>
      </c>
      <c r="Z131">
        <v>0.1</v>
      </c>
      <c r="AA131">
        <v>0.1</v>
      </c>
      <c r="AB131">
        <v>0.1</v>
      </c>
      <c r="AC131">
        <v>0.1</v>
      </c>
      <c r="AD131">
        <v>0.1</v>
      </c>
    </row>
    <row r="132" spans="1:30" x14ac:dyDescent="0.3">
      <c r="A132" t="str">
        <v>Risk Analyst</v>
      </c>
      <c r="B132" t="str">
        <v>BESS</v>
      </c>
      <c r="C132" t="str">
        <v>Project Controls</v>
      </c>
      <c r="D132">
        <v>0.05</v>
      </c>
      <c r="E132">
        <v>0.05</v>
      </c>
      <c r="F132">
        <v>0.05</v>
      </c>
      <c r="G132">
        <v>0.05</v>
      </c>
      <c r="H132">
        <v>0.05</v>
      </c>
      <c r="I132">
        <v>0.05</v>
      </c>
      <c r="J132">
        <v>0.05</v>
      </c>
      <c r="K132">
        <v>0.05</v>
      </c>
      <c r="L132">
        <v>0.05</v>
      </c>
      <c r="M132">
        <v>0.05</v>
      </c>
      <c r="N132">
        <v>0.05</v>
      </c>
      <c r="O132">
        <v>0.05</v>
      </c>
      <c r="P132">
        <v>0.05</v>
      </c>
      <c r="Q132">
        <v>0.05</v>
      </c>
      <c r="R132">
        <v>0.05</v>
      </c>
      <c r="S132">
        <v>0.05</v>
      </c>
      <c r="T132">
        <v>0.05</v>
      </c>
      <c r="U132">
        <v>0.05</v>
      </c>
      <c r="V132">
        <v>0.05</v>
      </c>
      <c r="W132">
        <v>0.05</v>
      </c>
      <c r="X132">
        <v>0.05</v>
      </c>
      <c r="Y132">
        <v>0.05</v>
      </c>
      <c r="Z132">
        <v>0.05</v>
      </c>
      <c r="AA132">
        <v>0.05</v>
      </c>
      <c r="AB132">
        <v>0.05</v>
      </c>
      <c r="AC132">
        <v>0</v>
      </c>
      <c r="AD132">
        <v>0</v>
      </c>
    </row>
    <row r="133" spans="1:30" x14ac:dyDescent="0.3">
      <c r="A133" t="str">
        <v>Document Control Specialist</v>
      </c>
      <c r="B133" t="str">
        <v>BESS</v>
      </c>
      <c r="C133" t="str">
        <v>Project Controls</v>
      </c>
      <c r="D133">
        <v>0.15</v>
      </c>
      <c r="E133">
        <v>0.15</v>
      </c>
      <c r="F133">
        <v>0.15</v>
      </c>
      <c r="G133">
        <v>0.15</v>
      </c>
      <c r="H133">
        <v>0.15</v>
      </c>
      <c r="I133">
        <v>0.15</v>
      </c>
      <c r="J133">
        <v>0.15</v>
      </c>
      <c r="K133">
        <v>0.15</v>
      </c>
      <c r="L133">
        <v>0.15</v>
      </c>
      <c r="M133">
        <v>0.15</v>
      </c>
      <c r="N133">
        <v>0.15</v>
      </c>
      <c r="O133">
        <v>0.15</v>
      </c>
      <c r="P133">
        <v>0.15</v>
      </c>
      <c r="Q133">
        <v>0.15</v>
      </c>
      <c r="R133">
        <v>0.15</v>
      </c>
      <c r="S133">
        <v>0.15</v>
      </c>
      <c r="T133">
        <v>0.15</v>
      </c>
      <c r="U133">
        <v>0.15</v>
      </c>
      <c r="V133">
        <v>0.15</v>
      </c>
      <c r="W133">
        <v>0.15</v>
      </c>
      <c r="X133">
        <v>0.15</v>
      </c>
      <c r="Y133">
        <v>0.15</v>
      </c>
      <c r="Z133">
        <v>0.15</v>
      </c>
      <c r="AA133">
        <v>0.15</v>
      </c>
      <c r="AB133">
        <v>0.15</v>
      </c>
      <c r="AC133">
        <v>0.15</v>
      </c>
      <c r="AD133">
        <v>0.15</v>
      </c>
    </row>
    <row r="134" spans="1:30" x14ac:dyDescent="0.3">
      <c r="A134" t="str">
        <v>Scheduler</v>
      </c>
      <c r="B134" t="str">
        <v>BESS</v>
      </c>
      <c r="C134" t="str">
        <v>Project Controls</v>
      </c>
      <c r="D134">
        <v>0.1</v>
      </c>
      <c r="E134">
        <v>0.1</v>
      </c>
      <c r="F134">
        <v>0.1</v>
      </c>
      <c r="G134">
        <v>0.1</v>
      </c>
      <c r="H134">
        <v>0.1</v>
      </c>
      <c r="I134">
        <v>0.1</v>
      </c>
      <c r="J134">
        <v>0.1</v>
      </c>
      <c r="K134">
        <v>0.1</v>
      </c>
      <c r="L134">
        <v>0.1</v>
      </c>
      <c r="M134">
        <v>0.1</v>
      </c>
      <c r="N134">
        <v>0.1</v>
      </c>
      <c r="O134">
        <v>0.1</v>
      </c>
      <c r="P134">
        <v>0.1</v>
      </c>
      <c r="Q134">
        <v>0.1</v>
      </c>
      <c r="R134">
        <v>0.1</v>
      </c>
      <c r="S134">
        <v>0.1</v>
      </c>
      <c r="T134">
        <v>0.1</v>
      </c>
      <c r="U134">
        <v>0.1</v>
      </c>
      <c r="V134">
        <v>0.1</v>
      </c>
      <c r="W134">
        <v>0.1</v>
      </c>
      <c r="X134">
        <v>0.1</v>
      </c>
      <c r="Y134">
        <v>0.1</v>
      </c>
      <c r="Z134">
        <v>0.1</v>
      </c>
      <c r="AA134">
        <v>0.1</v>
      </c>
      <c r="AB134">
        <v>0.1</v>
      </c>
      <c r="AC134">
        <v>0.1</v>
      </c>
      <c r="AD134">
        <v>0.1</v>
      </c>
    </row>
    <row r="135" spans="1:30" x14ac:dyDescent="0.3">
      <c r="A135" t="str">
        <v>Cost Controls</v>
      </c>
      <c r="B135" t="str">
        <v>BESS</v>
      </c>
      <c r="C135" t="str">
        <v>Project Controls</v>
      </c>
      <c r="D135">
        <v>0.1</v>
      </c>
      <c r="E135">
        <v>0.1</v>
      </c>
      <c r="F135">
        <v>0.1</v>
      </c>
      <c r="G135">
        <v>0.1</v>
      </c>
      <c r="H135">
        <v>0.1</v>
      </c>
      <c r="I135">
        <v>0.1</v>
      </c>
      <c r="J135">
        <v>0.1</v>
      </c>
      <c r="K135">
        <v>0.1</v>
      </c>
      <c r="L135">
        <v>0.1</v>
      </c>
      <c r="M135">
        <v>0.1</v>
      </c>
      <c r="N135">
        <v>0.1</v>
      </c>
      <c r="O135">
        <v>0.1</v>
      </c>
      <c r="P135">
        <v>0.1</v>
      </c>
      <c r="Q135">
        <v>0.1</v>
      </c>
      <c r="R135">
        <v>0.1</v>
      </c>
      <c r="S135">
        <v>0.1</v>
      </c>
      <c r="T135">
        <v>0.1</v>
      </c>
      <c r="U135">
        <v>0.1</v>
      </c>
      <c r="V135">
        <v>0.1</v>
      </c>
      <c r="W135">
        <v>0.1</v>
      </c>
      <c r="X135">
        <v>0.1</v>
      </c>
      <c r="Y135">
        <v>0.1</v>
      </c>
      <c r="Z135">
        <v>0.1</v>
      </c>
      <c r="AA135">
        <v>0.1</v>
      </c>
      <c r="AB135">
        <v>0.1</v>
      </c>
      <c r="AC135">
        <v>0.1</v>
      </c>
      <c r="AD135">
        <v>0.1</v>
      </c>
    </row>
    <row r="136" spans="1:30" x14ac:dyDescent="0.3">
      <c r="A136" t="str">
        <v>Project Manager</v>
      </c>
      <c r="B136" t="str">
        <v>New Archetype 1</v>
      </c>
      <c r="C136" t="str">
        <v>Project Management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">
      <c r="A137" t="str">
        <v>Project Engineer</v>
      </c>
      <c r="B137" t="str">
        <v>New Archetype 1</v>
      </c>
      <c r="C137" t="str">
        <v>Project Management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">
      <c r="A138" t="str">
        <v>Project Coordinator</v>
      </c>
      <c r="B138" t="str">
        <v>New Archetype 1</v>
      </c>
      <c r="C138" t="str">
        <v>Project Management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">
      <c r="A139" t="str">
        <v>Civil Engineer</v>
      </c>
      <c r="B139" t="str">
        <v>New Archetype 1</v>
      </c>
      <c r="C139" t="str">
        <v xml:space="preserve">Engineering 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">
      <c r="A140" t="str">
        <v>I&amp;C Engineer</v>
      </c>
      <c r="B140" t="str">
        <v>New Archetype 1</v>
      </c>
      <c r="C140" t="str">
        <v xml:space="preserve">Engineering 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">
      <c r="A141" t="str">
        <v>Electrical Engineer</v>
      </c>
      <c r="B141" t="str">
        <v>New Archetype 1</v>
      </c>
      <c r="C141" t="str">
        <v xml:space="preserve">Engineering 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">
      <c r="A142" t="str">
        <v>Mechanical Engineer</v>
      </c>
      <c r="B142" t="str">
        <v>New Archetype 1</v>
      </c>
      <c r="C142" t="str">
        <v xml:space="preserve">Engineering 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">
      <c r="A143" t="str">
        <v>Structural Engineer</v>
      </c>
      <c r="B143" t="str">
        <v>New Archetype 1</v>
      </c>
      <c r="C143" t="str">
        <v xml:space="preserve">Engineering 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">
      <c r="A144" t="str">
        <v>Construction Manager</v>
      </c>
      <c r="B144" t="str">
        <v>New Archetype 1</v>
      </c>
      <c r="C144" t="str">
        <v>Construction Monitoring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">
      <c r="A145" t="str">
        <v>H&amp;S Field</v>
      </c>
      <c r="B145" t="str">
        <v>New Archetype 1</v>
      </c>
      <c r="C145" t="str">
        <v>Construction Monitoring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">
      <c r="A146" t="str">
        <v>Estimator</v>
      </c>
      <c r="B146" t="str">
        <v>New Archetype 1</v>
      </c>
      <c r="C146" t="str">
        <v>Project Controls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">
      <c r="A147" t="str">
        <v>Risk Analyst</v>
      </c>
      <c r="B147" t="str">
        <v>New Archetype 1</v>
      </c>
      <c r="C147" t="str">
        <v>Project Controls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">
      <c r="A148" t="str">
        <v>Document Control Specialist</v>
      </c>
      <c r="B148" t="str">
        <v>New Archetype 1</v>
      </c>
      <c r="C148" t="str">
        <v>Project Controls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">
      <c r="A149" t="str">
        <v>Scheduler</v>
      </c>
      <c r="B149" t="str">
        <v>New Archetype 1</v>
      </c>
      <c r="C149" t="str">
        <v>Project Controls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">
      <c r="A150" t="str">
        <v>Cost Controls</v>
      </c>
      <c r="B150" t="str">
        <v>New Archetype 1</v>
      </c>
      <c r="C150" t="str">
        <v>Project Controls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">
      <c r="A151" t="str">
        <v>Project Manager</v>
      </c>
      <c r="B151" t="str">
        <v>New Archetype 2</v>
      </c>
      <c r="C151" t="str">
        <v>Project Management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">
      <c r="A152" t="str">
        <v>Project Engineer</v>
      </c>
      <c r="B152" t="str">
        <v>New Archetype 2</v>
      </c>
      <c r="C152" t="str">
        <v>Project Management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">
      <c r="A153" t="str">
        <v>Project Coordinator</v>
      </c>
      <c r="B153" t="str">
        <v>New Archetype 2</v>
      </c>
      <c r="C153" t="str">
        <v>Project Management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">
      <c r="A154" t="str">
        <v>Civil Engineer</v>
      </c>
      <c r="B154" t="str">
        <v>New Archetype 2</v>
      </c>
      <c r="C154" t="str">
        <v xml:space="preserve">Engineering 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">
      <c r="A155" t="str">
        <v>I&amp;C Engineer</v>
      </c>
      <c r="B155" t="str">
        <v>New Archetype 2</v>
      </c>
      <c r="C155" t="str">
        <v xml:space="preserve">Engineering 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">
      <c r="A156" t="str">
        <v>Electrical Engineer</v>
      </c>
      <c r="B156" t="str">
        <v>New Archetype 2</v>
      </c>
      <c r="C156" t="str">
        <v xml:space="preserve">Engineering 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">
      <c r="A157" t="str">
        <v>Mechanical Engineer</v>
      </c>
      <c r="B157" t="str">
        <v>New Archetype 2</v>
      </c>
      <c r="C157" t="str">
        <v xml:space="preserve">Engineering 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">
      <c r="A158" t="str">
        <v>Structural Engineer</v>
      </c>
      <c r="B158" t="str">
        <v>New Archetype 2</v>
      </c>
      <c r="C158" t="str">
        <v xml:space="preserve">Engineering 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">
      <c r="A159" t="str">
        <v>Construction Manager</v>
      </c>
      <c r="B159" t="str">
        <v>New Archetype 2</v>
      </c>
      <c r="C159" t="str">
        <v>Construction Monitoring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">
      <c r="A160" t="str">
        <v>H&amp;S Field</v>
      </c>
      <c r="B160" t="str">
        <v>New Archetype 2</v>
      </c>
      <c r="C160" t="str">
        <v>Construction Monitoring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">
      <c r="A161" t="str">
        <v>Estimator</v>
      </c>
      <c r="B161" t="str">
        <v>New Archetype 2</v>
      </c>
      <c r="C161" t="str">
        <v>Project Controls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">
      <c r="A162" t="str">
        <v>Risk Analyst</v>
      </c>
      <c r="B162" t="str">
        <v>New Archetype 2</v>
      </c>
      <c r="C162" t="str">
        <v>Project Controls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">
      <c r="A163" t="str">
        <v>Document Control Specialist</v>
      </c>
      <c r="B163" t="str">
        <v>New Archetype 2</v>
      </c>
      <c r="C163" t="str">
        <v>Project Controls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">
      <c r="A164" t="str">
        <v>Scheduler</v>
      </c>
      <c r="B164" t="str">
        <v>New Archetype 2</v>
      </c>
      <c r="C164" t="str">
        <v>Project Controls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">
      <c r="A165" t="str">
        <v>Cost Controls</v>
      </c>
      <c r="B165" t="str">
        <v>New Archetype 2</v>
      </c>
      <c r="C165" t="str">
        <v>Project Controls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602F-58C8-45BB-950A-B6C0E2FA6424}">
  <sheetPr>
    <tabColor rgb="FFC00000"/>
  </sheetPr>
  <dimension ref="A1:K26"/>
  <sheetViews>
    <sheetView workbookViewId="0">
      <selection activeCell="J17" sqref="J17"/>
    </sheetView>
  </sheetViews>
  <sheetFormatPr defaultRowHeight="14.4" x14ac:dyDescent="0.3"/>
  <cols>
    <col min="1" max="1" width="23.88671875" bestFit="1" customWidth="1"/>
    <col min="2" max="2" width="23.88671875" customWidth="1"/>
    <col min="3" max="3" width="29.88671875" bestFit="1" customWidth="1"/>
    <col min="4" max="4" width="7.5546875" bestFit="1" customWidth="1"/>
    <col min="5" max="5" width="10" bestFit="1" customWidth="1"/>
    <col min="6" max="6" width="9.33203125" bestFit="1" customWidth="1"/>
    <col min="7" max="7" width="12.33203125" style="45" bestFit="1" customWidth="1"/>
    <col min="8" max="8" width="19.6640625" style="45" bestFit="1" customWidth="1"/>
    <col min="9" max="9" width="19.6640625" style="45" customWidth="1"/>
    <col min="10" max="10" width="19" style="45" bestFit="1" customWidth="1"/>
    <col min="11" max="11" width="16.88671875" bestFit="1" customWidth="1"/>
  </cols>
  <sheetData>
    <row r="1" spans="1:11" ht="15" thickBot="1" x14ac:dyDescent="0.35">
      <c r="A1" s="65" t="s">
        <v>36</v>
      </c>
      <c r="B1" s="66" t="s">
        <v>155</v>
      </c>
      <c r="C1" s="66" t="s">
        <v>64</v>
      </c>
      <c r="D1" s="66" t="s">
        <v>33</v>
      </c>
      <c r="E1" s="66" t="s">
        <v>34</v>
      </c>
      <c r="F1" s="66" t="s">
        <v>26</v>
      </c>
      <c r="G1" s="67" t="s">
        <v>110</v>
      </c>
      <c r="H1" s="67" t="s">
        <v>111</v>
      </c>
      <c r="I1" s="67" t="s">
        <v>112</v>
      </c>
      <c r="J1" s="67" t="s">
        <v>113</v>
      </c>
      <c r="K1" s="68" t="s">
        <v>37</v>
      </c>
    </row>
    <row r="2" spans="1:11" x14ac:dyDescent="0.3">
      <c r="A2" t="str" cm="1">
        <f t="array" ref="A2:F26">_xlfn.VSTACK(Table10[])</f>
        <v>Program Director</v>
      </c>
      <c r="B2" t="str">
        <v>Program</v>
      </c>
      <c r="C2" t="str">
        <v>Program Management</v>
      </c>
      <c r="D2">
        <v>1</v>
      </c>
      <c r="E2">
        <v>0.75</v>
      </c>
      <c r="F2">
        <v>0.5</v>
      </c>
      <c r="G2" s="45" cm="1">
        <f t="array" ref="G2">MIN(IF('Projects Adjusted'!$M:$M&lt;&gt;"", 'Projects Adjusted'!$M:$M))</f>
        <v>46178</v>
      </c>
      <c r="H2" s="45">
        <f>G2+('Program Resources'!$E$6*K2)</f>
        <v>46378.400000000001</v>
      </c>
      <c r="I2" s="45">
        <f>G2+(('Program Resources'!$E$6+'Program Resources'!$F$6)*K2)</f>
        <v>47981.599999999999</v>
      </c>
      <c r="J2" s="45" cm="1">
        <f t="array" ref="J2">MAX(IF('Projects Adjusted'!$Q:$Q&lt;&gt;"", 'Projects Adjusted'!$Q:$Q))</f>
        <v>48182</v>
      </c>
      <c r="K2">
        <f>J2-G2</f>
        <v>2004</v>
      </c>
    </row>
    <row r="3" spans="1:11" x14ac:dyDescent="0.3">
      <c r="A3" t="str">
        <v>Program Operations Lead</v>
      </c>
      <c r="B3" t="str">
        <v>Program</v>
      </c>
      <c r="C3" t="str">
        <v>Program Management</v>
      </c>
      <c r="D3">
        <v>0</v>
      </c>
      <c r="E3">
        <v>0</v>
      </c>
      <c r="F3">
        <v>0</v>
      </c>
      <c r="G3" s="45" cm="1">
        <f t="array" ref="G3">MIN(IF('Projects Adjusted'!$M:$M&lt;&gt;"", 'Projects Adjusted'!$M:$M))</f>
        <v>46178</v>
      </c>
      <c r="H3" s="45">
        <f>G3+('Program Resources'!$E$6*K3)</f>
        <v>46378.400000000001</v>
      </c>
      <c r="I3" s="45">
        <f>G3+(('Program Resources'!$E$6+'Program Resources'!$F$6)*K3)</f>
        <v>47981.599999999999</v>
      </c>
      <c r="J3" s="45" cm="1">
        <f t="array" ref="J3">MAX(IF('Projects Adjusted'!$Q:$Q&lt;&gt;"", 'Projects Adjusted'!$Q:$Q))</f>
        <v>48182</v>
      </c>
      <c r="K3">
        <f t="shared" ref="K3:K26" si="0">J3-G3</f>
        <v>2004</v>
      </c>
    </row>
    <row r="4" spans="1:11" x14ac:dyDescent="0.3">
      <c r="A4" t="str">
        <v>Initiation Lead</v>
      </c>
      <c r="B4" t="str">
        <v>Program</v>
      </c>
      <c r="C4" t="str">
        <v>Program Management</v>
      </c>
      <c r="D4">
        <v>1</v>
      </c>
      <c r="E4">
        <v>0</v>
      </c>
      <c r="F4">
        <v>0</v>
      </c>
      <c r="G4" s="45" cm="1">
        <f t="array" ref="G4">MIN(IF('Projects Adjusted'!$M:$M&lt;&gt;"", 'Projects Adjusted'!$M:$M))</f>
        <v>46178</v>
      </c>
      <c r="H4" s="45">
        <f>G4+('Program Resources'!$E$6*K4)</f>
        <v>46378.400000000001</v>
      </c>
      <c r="I4" s="45">
        <f>G4+(('Program Resources'!$E$6+'Program Resources'!$F$6)*K4)</f>
        <v>47981.599999999999</v>
      </c>
      <c r="J4" s="45" cm="1">
        <f t="array" ref="J4">MAX(IF('Projects Adjusted'!$Q:$Q&lt;&gt;"", 'Projects Adjusted'!$Q:$Q))</f>
        <v>48182</v>
      </c>
      <c r="K4">
        <f t="shared" si="0"/>
        <v>2004</v>
      </c>
    </row>
    <row r="5" spans="1:11" x14ac:dyDescent="0.3">
      <c r="A5" t="str">
        <v>CM Manager</v>
      </c>
      <c r="B5" t="str">
        <v>Program</v>
      </c>
      <c r="C5" t="str">
        <v>Program Construction Management</v>
      </c>
      <c r="D5">
        <v>0.25</v>
      </c>
      <c r="E5">
        <v>0.75</v>
      </c>
      <c r="F5">
        <v>0.5</v>
      </c>
      <c r="G5" s="45" cm="1">
        <f t="array" ref="G5">MIN(IF('Projects Adjusted'!$M:$M&lt;&gt;"", 'Projects Adjusted'!$M:$M))</f>
        <v>46178</v>
      </c>
      <c r="H5" s="45">
        <f>G5+('Program Resources'!$E$6*K5)</f>
        <v>46378.400000000001</v>
      </c>
      <c r="I5" s="45">
        <f>G5+(('Program Resources'!$E$6+'Program Resources'!$F$6)*K5)</f>
        <v>47981.599999999999</v>
      </c>
      <c r="J5" s="45" cm="1">
        <f t="array" ref="J5">MAX(IF('Projects Adjusted'!$Q:$Q&lt;&gt;"", 'Projects Adjusted'!$Q:$Q))</f>
        <v>48182</v>
      </c>
      <c r="K5">
        <f t="shared" si="0"/>
        <v>2004</v>
      </c>
    </row>
    <row r="6" spans="1:11" x14ac:dyDescent="0.3">
      <c r="A6" t="str">
        <v>CM SPS Lead</v>
      </c>
      <c r="B6" t="str">
        <v>SPS</v>
      </c>
      <c r="C6" t="str">
        <v>Program Construction Management</v>
      </c>
      <c r="D6">
        <v>0</v>
      </c>
      <c r="E6">
        <v>0.75</v>
      </c>
      <c r="F6">
        <v>0.5</v>
      </c>
      <c r="G6" s="45" cm="1">
        <f t="array" ref="G6">MIN(IF('Projects Adjusted'!$M:$M&lt;&gt;"", 'Projects Adjusted'!$M:$M))</f>
        <v>46178</v>
      </c>
      <c r="H6" s="45">
        <f>G6+('Program Resources'!$E$6*K6)</f>
        <v>46378.400000000001</v>
      </c>
      <c r="I6" s="45">
        <f>G6+(('Program Resources'!$E$6+'Program Resources'!$F$6)*K6)</f>
        <v>47981.599999999999</v>
      </c>
      <c r="J6" s="45" cm="1">
        <f t="array" ref="J6">MAX(IF('Projects Adjusted'!$Q:$Q&lt;&gt;"", 'Projects Adjusted'!$Q:$Q))</f>
        <v>48182</v>
      </c>
      <c r="K6">
        <f t="shared" si="0"/>
        <v>2004</v>
      </c>
    </row>
    <row r="7" spans="1:11" x14ac:dyDescent="0.3">
      <c r="A7" t="str">
        <v>CM NSP Lead</v>
      </c>
      <c r="B7" t="str">
        <v>NSP</v>
      </c>
      <c r="C7" t="str">
        <v>Program Construction Management</v>
      </c>
      <c r="D7">
        <v>0</v>
      </c>
      <c r="E7">
        <v>0.75</v>
      </c>
      <c r="F7">
        <v>0.5</v>
      </c>
      <c r="G7" s="45" cm="1">
        <f t="array" ref="G7">MIN(IF('Projects Adjusted'!$M:$M&lt;&gt;"", 'Projects Adjusted'!$M:$M))</f>
        <v>46178</v>
      </c>
      <c r="H7" s="45">
        <f>G7+('Program Resources'!$E$6*K7)</f>
        <v>46378.400000000001</v>
      </c>
      <c r="I7" s="45">
        <f>G7+(('Program Resources'!$E$6+'Program Resources'!$F$6)*K7)</f>
        <v>47981.599999999999</v>
      </c>
      <c r="J7" s="45" cm="1">
        <f t="array" ref="J7">MAX(IF('Projects Adjusted'!$Q:$Q&lt;&gt;"", 'Projects Adjusted'!$Q:$Q))</f>
        <v>48182</v>
      </c>
      <c r="K7">
        <f t="shared" si="0"/>
        <v>2004</v>
      </c>
    </row>
    <row r="8" spans="1:11" x14ac:dyDescent="0.3">
      <c r="A8" t="str">
        <v>CM PSCo Lead</v>
      </c>
      <c r="B8" t="str">
        <v>PSCo</v>
      </c>
      <c r="C8" t="str">
        <v>Program Construction Management</v>
      </c>
      <c r="D8">
        <v>0</v>
      </c>
      <c r="E8">
        <v>0.75</v>
      </c>
      <c r="F8">
        <v>0.5</v>
      </c>
      <c r="G8" s="45" cm="1">
        <f t="array" ref="G8">MIN(IF('Projects Adjusted'!$M:$M&lt;&gt;"", 'Projects Adjusted'!$M:$M))</f>
        <v>46178</v>
      </c>
      <c r="H8" s="45">
        <f>G8+('Program Resources'!$E$6*K8)</f>
        <v>46378.400000000001</v>
      </c>
      <c r="I8" s="45">
        <f>G8+(('Program Resources'!$E$6+'Program Resources'!$F$6)*K8)</f>
        <v>47981.599999999999</v>
      </c>
      <c r="J8" s="45" cm="1">
        <f t="array" ref="J8">MAX(IF('Projects Adjusted'!$Q:$Q&lt;&gt;"", 'Projects Adjusted'!$Q:$Q))</f>
        <v>48182</v>
      </c>
      <c r="K8">
        <f t="shared" si="0"/>
        <v>2004</v>
      </c>
    </row>
    <row r="9" spans="1:11" x14ac:dyDescent="0.3">
      <c r="A9" t="str">
        <v>H&amp;S Lead</v>
      </c>
      <c r="B9" t="str">
        <v>Program</v>
      </c>
      <c r="C9" t="str">
        <v>Program Construction Management</v>
      </c>
      <c r="D9">
        <v>0.25</v>
      </c>
      <c r="E9">
        <v>0.75</v>
      </c>
      <c r="F9">
        <v>0</v>
      </c>
      <c r="G9" s="45" cm="1">
        <f t="array" ref="G9">MIN(IF('Projects Adjusted'!$M:$M&lt;&gt;"", 'Projects Adjusted'!$M:$M))</f>
        <v>46178</v>
      </c>
      <c r="H9" s="45">
        <f>G9+('Program Resources'!$E$6*K9)</f>
        <v>46378.400000000001</v>
      </c>
      <c r="I9" s="45">
        <f>G9+(('Program Resources'!$E$6+'Program Resources'!$F$6)*K9)</f>
        <v>47981.599999999999</v>
      </c>
      <c r="J9" s="45" cm="1">
        <f t="array" ref="J9">MAX(IF('Projects Adjusted'!$Q:$Q&lt;&gt;"", 'Projects Adjusted'!$Q:$Q))</f>
        <v>48182</v>
      </c>
      <c r="K9">
        <f t="shared" si="0"/>
        <v>2004</v>
      </c>
    </row>
    <row r="10" spans="1:11" x14ac:dyDescent="0.3">
      <c r="A10" t="str">
        <v>Engineering Manager</v>
      </c>
      <c r="B10" t="str">
        <v>Program</v>
      </c>
      <c r="C10" t="str">
        <v>Program Engineering</v>
      </c>
      <c r="D10">
        <v>0.25</v>
      </c>
      <c r="E10">
        <v>0.75</v>
      </c>
      <c r="F10">
        <v>0.5</v>
      </c>
      <c r="G10" s="45" cm="1">
        <f t="array" ref="G10">MIN(IF('Projects Adjusted'!$M:$M&lt;&gt;"", 'Projects Adjusted'!$M:$M))</f>
        <v>46178</v>
      </c>
      <c r="H10" s="45">
        <f>G10+('Program Resources'!$E$6*K10)</f>
        <v>46378.400000000001</v>
      </c>
      <c r="I10" s="45">
        <f>G10+(('Program Resources'!$E$6+'Program Resources'!$F$6)*K10)</f>
        <v>47981.599999999999</v>
      </c>
      <c r="J10" s="45" cm="1">
        <f t="array" ref="J10">MAX(IF('Projects Adjusted'!$Q:$Q&lt;&gt;"", 'Projects Adjusted'!$Q:$Q))</f>
        <v>48182</v>
      </c>
      <c r="K10">
        <f t="shared" si="0"/>
        <v>2004</v>
      </c>
    </row>
    <row r="11" spans="1:11" x14ac:dyDescent="0.3">
      <c r="A11" t="str">
        <v>SPS Engr Lead</v>
      </c>
      <c r="B11" t="str">
        <v>SPS</v>
      </c>
      <c r="C11" t="str">
        <v>Program Engineering</v>
      </c>
      <c r="D11">
        <v>0</v>
      </c>
      <c r="E11">
        <v>0</v>
      </c>
      <c r="F11">
        <v>0</v>
      </c>
      <c r="G11" s="45" cm="1">
        <f t="array" ref="G11">MIN(IF('Projects Adjusted'!$M:$M&lt;&gt;"", 'Projects Adjusted'!$M:$M))</f>
        <v>46178</v>
      </c>
      <c r="H11" s="45">
        <f>G11+('Program Resources'!$E$6*K11)</f>
        <v>46378.400000000001</v>
      </c>
      <c r="I11" s="45">
        <f>G11+(('Program Resources'!$E$6+'Program Resources'!$F$6)*K11)</f>
        <v>47981.599999999999</v>
      </c>
      <c r="J11" s="45" cm="1">
        <f t="array" ref="J11">MAX(IF('Projects Adjusted'!$Q:$Q&lt;&gt;"", 'Projects Adjusted'!$Q:$Q))</f>
        <v>48182</v>
      </c>
      <c r="K11">
        <f t="shared" si="0"/>
        <v>2004</v>
      </c>
    </row>
    <row r="12" spans="1:11" x14ac:dyDescent="0.3">
      <c r="A12" t="str">
        <v>NSP Engr Lead</v>
      </c>
      <c r="B12" t="str">
        <v>NSP</v>
      </c>
      <c r="C12" t="str">
        <v>Program Engineering</v>
      </c>
      <c r="D12">
        <v>0</v>
      </c>
      <c r="E12">
        <v>0</v>
      </c>
      <c r="F12">
        <v>0</v>
      </c>
      <c r="G12" s="45" cm="1">
        <f t="array" ref="G12">MIN(IF('Projects Adjusted'!$M:$M&lt;&gt;"", 'Projects Adjusted'!$M:$M))</f>
        <v>46178</v>
      </c>
      <c r="H12" s="45">
        <f>G12+('Program Resources'!$E$6*K12)</f>
        <v>46378.400000000001</v>
      </c>
      <c r="I12" s="45">
        <f>G12+(('Program Resources'!$E$6+'Program Resources'!$F$6)*K12)</f>
        <v>47981.599999999999</v>
      </c>
      <c r="J12" s="45" cm="1">
        <f t="array" ref="J12">MAX(IF('Projects Adjusted'!$Q:$Q&lt;&gt;"", 'Projects Adjusted'!$Q:$Q))</f>
        <v>48182</v>
      </c>
      <c r="K12">
        <f t="shared" si="0"/>
        <v>2004</v>
      </c>
    </row>
    <row r="13" spans="1:11" x14ac:dyDescent="0.3">
      <c r="A13" t="str">
        <v>PSCO Engr Lead</v>
      </c>
      <c r="B13" t="str">
        <v>PSCo</v>
      </c>
      <c r="C13" t="str">
        <v>Program Engineering</v>
      </c>
      <c r="D13">
        <v>0</v>
      </c>
      <c r="E13">
        <v>0</v>
      </c>
      <c r="F13">
        <v>0</v>
      </c>
      <c r="G13" s="45" cm="1">
        <f t="array" ref="G13">MIN(IF('Projects Adjusted'!$M:$M&lt;&gt;"", 'Projects Adjusted'!$M:$M))</f>
        <v>46178</v>
      </c>
      <c r="H13" s="45">
        <f>G13+('Program Resources'!$E$6*K13)</f>
        <v>46378.400000000001</v>
      </c>
      <c r="I13" s="45">
        <f>G13+(('Program Resources'!$E$6+'Program Resources'!$F$6)*K13)</f>
        <v>47981.599999999999</v>
      </c>
      <c r="J13" s="45" cm="1">
        <f t="array" ref="J13">MAX(IF('Projects Adjusted'!$Q:$Q&lt;&gt;"", 'Projects Adjusted'!$Q:$Q))</f>
        <v>48182</v>
      </c>
      <c r="K13">
        <f t="shared" si="0"/>
        <v>2004</v>
      </c>
    </row>
    <row r="14" spans="1:11" x14ac:dyDescent="0.3">
      <c r="A14" t="str">
        <v>PM Manager</v>
      </c>
      <c r="B14" t="str">
        <v>Program</v>
      </c>
      <c r="C14" t="str">
        <v>Program Engineering</v>
      </c>
      <c r="D14">
        <v>0.5</v>
      </c>
      <c r="E14">
        <v>0.75</v>
      </c>
      <c r="F14">
        <v>0.5</v>
      </c>
      <c r="G14" s="45" cm="1">
        <f t="array" ref="G14">MIN(IF('Projects Adjusted'!$M:$M&lt;&gt;"", 'Projects Adjusted'!$M:$M))</f>
        <v>46178</v>
      </c>
      <c r="H14" s="45">
        <f>G14+('Program Resources'!$E$6*K14)</f>
        <v>46378.400000000001</v>
      </c>
      <c r="I14" s="45">
        <f>G14+(('Program Resources'!$E$6+'Program Resources'!$F$6)*K14)</f>
        <v>47981.599999999999</v>
      </c>
      <c r="J14" s="45" cm="1">
        <f t="array" ref="J14">MAX(IF('Projects Adjusted'!$Q:$Q&lt;&gt;"", 'Projects Adjusted'!$Q:$Q))</f>
        <v>48182</v>
      </c>
      <c r="K14">
        <f t="shared" si="0"/>
        <v>2004</v>
      </c>
    </row>
    <row r="15" spans="1:11" x14ac:dyDescent="0.3">
      <c r="A15" t="str">
        <v>SPS Pod Lead</v>
      </c>
      <c r="B15" t="str">
        <v>SPS</v>
      </c>
      <c r="C15" t="str">
        <v>Program Engineering</v>
      </c>
      <c r="D15">
        <v>0.25</v>
      </c>
      <c r="E15">
        <v>0.75</v>
      </c>
      <c r="F15">
        <v>0.5</v>
      </c>
      <c r="G15" s="45" cm="1">
        <f t="array" ref="G15">MIN(IF('Projects Adjusted'!$M:$M&lt;&gt;"", 'Projects Adjusted'!$M:$M))</f>
        <v>46178</v>
      </c>
      <c r="H15" s="45">
        <f>G15+('Program Resources'!$E$6*K15)</f>
        <v>46378.400000000001</v>
      </c>
      <c r="I15" s="45">
        <f>G15+(('Program Resources'!$E$6+'Program Resources'!$F$6)*K15)</f>
        <v>47981.599999999999</v>
      </c>
      <c r="J15" s="45" cm="1">
        <f t="array" ref="J15">MAX(IF('Projects Adjusted'!$Q:$Q&lt;&gt;"", 'Projects Adjusted'!$Q:$Q))</f>
        <v>48182</v>
      </c>
      <c r="K15">
        <f t="shared" si="0"/>
        <v>2004</v>
      </c>
    </row>
    <row r="16" spans="1:11" x14ac:dyDescent="0.3">
      <c r="A16" t="str">
        <v>NSP Pod Lead</v>
      </c>
      <c r="B16" t="str">
        <v>NSP</v>
      </c>
      <c r="C16" t="str">
        <v>Program Engineering</v>
      </c>
      <c r="D16">
        <v>0.25</v>
      </c>
      <c r="E16">
        <v>0.75</v>
      </c>
      <c r="F16">
        <v>0.5</v>
      </c>
      <c r="G16" s="45" cm="1">
        <f t="array" ref="G16">MIN(IF('Projects Adjusted'!$M:$M&lt;&gt;"", 'Projects Adjusted'!$M:$M))</f>
        <v>46178</v>
      </c>
      <c r="H16" s="45">
        <f>G16+('Program Resources'!$E$6*K16)</f>
        <v>46378.400000000001</v>
      </c>
      <c r="I16" s="45">
        <f>G16+(('Program Resources'!$E$6+'Program Resources'!$F$6)*K16)</f>
        <v>47981.599999999999</v>
      </c>
      <c r="J16" s="45" cm="1">
        <f t="array" ref="J16">MAX(IF('Projects Adjusted'!$Q:$Q&lt;&gt;"", 'Projects Adjusted'!$Q:$Q))</f>
        <v>48182</v>
      </c>
      <c r="K16">
        <f t="shared" si="0"/>
        <v>2004</v>
      </c>
    </row>
    <row r="17" spans="1:11" x14ac:dyDescent="0.3">
      <c r="A17" t="str">
        <v>PSCO Pod Lead</v>
      </c>
      <c r="B17" t="str">
        <v>PSCo</v>
      </c>
      <c r="C17" t="str">
        <v>Program Engineering</v>
      </c>
      <c r="D17">
        <v>0.25</v>
      </c>
      <c r="E17">
        <v>0.75</v>
      </c>
      <c r="F17">
        <v>0.5</v>
      </c>
      <c r="G17" s="45" cm="1">
        <f t="array" ref="G17">MIN(IF('Projects Adjusted'!$M:$M&lt;&gt;"", 'Projects Adjusted'!$M:$M))</f>
        <v>46178</v>
      </c>
      <c r="H17" s="45">
        <f>G17+('Program Resources'!$E$6*K17)</f>
        <v>46378.400000000001</v>
      </c>
      <c r="I17" s="45">
        <f>G17+(('Program Resources'!$E$6+'Program Resources'!$F$6)*K17)</f>
        <v>47981.599999999999</v>
      </c>
      <c r="J17" s="45" cm="1">
        <f t="array" ref="J17">MAX(IF('Projects Adjusted'!$Q:$Q&lt;&gt;"", 'Projects Adjusted'!$Q:$Q))</f>
        <v>48182</v>
      </c>
      <c r="K17">
        <f t="shared" si="0"/>
        <v>2004</v>
      </c>
    </row>
    <row r="18" spans="1:11" x14ac:dyDescent="0.3">
      <c r="A18" t="str">
        <v>PC Manager</v>
      </c>
      <c r="B18" t="str">
        <v>Program</v>
      </c>
      <c r="C18" t="str">
        <v>Program Controls</v>
      </c>
      <c r="D18">
        <v>0.5</v>
      </c>
      <c r="E18">
        <v>0.75</v>
      </c>
      <c r="F18">
        <v>0.5</v>
      </c>
      <c r="G18" s="45" cm="1">
        <f t="array" ref="G18">MIN(IF('Projects Adjusted'!$M:$M&lt;&gt;"", 'Projects Adjusted'!$M:$M))</f>
        <v>46178</v>
      </c>
      <c r="H18" s="45">
        <f>G18+('Program Resources'!$E$6*K18)</f>
        <v>46378.400000000001</v>
      </c>
      <c r="I18" s="45">
        <f>G18+(('Program Resources'!$E$6+'Program Resources'!$F$6)*K18)</f>
        <v>47981.599999999999</v>
      </c>
      <c r="J18" s="45" cm="1">
        <f t="array" ref="J18">MAX(IF('Projects Adjusted'!$Q:$Q&lt;&gt;"", 'Projects Adjusted'!$Q:$Q))</f>
        <v>48182</v>
      </c>
      <c r="K18">
        <f t="shared" si="0"/>
        <v>2004</v>
      </c>
    </row>
    <row r="19" spans="1:11" x14ac:dyDescent="0.3">
      <c r="A19" t="str">
        <v>Cost Estimating Lead</v>
      </c>
      <c r="B19" t="str">
        <v>Program</v>
      </c>
      <c r="C19" t="str">
        <v>Program Controls</v>
      </c>
      <c r="D19">
        <v>0</v>
      </c>
      <c r="E19">
        <v>0.75</v>
      </c>
      <c r="F19">
        <v>0.5</v>
      </c>
      <c r="G19" s="45" cm="1">
        <f t="array" ref="G19">MIN(IF('Projects Adjusted'!$M:$M&lt;&gt;"", 'Projects Adjusted'!$M:$M))</f>
        <v>46178</v>
      </c>
      <c r="H19" s="45">
        <f>G19+('Program Resources'!$E$6*K19)</f>
        <v>46378.400000000001</v>
      </c>
      <c r="I19" s="45">
        <f>G19+(('Program Resources'!$E$6+'Program Resources'!$F$6)*K19)</f>
        <v>47981.599999999999</v>
      </c>
      <c r="J19" s="45" cm="1">
        <f t="array" ref="J19">MAX(IF('Projects Adjusted'!$Q:$Q&lt;&gt;"", 'Projects Adjusted'!$Q:$Q))</f>
        <v>48182</v>
      </c>
      <c r="K19">
        <f t="shared" si="0"/>
        <v>2004</v>
      </c>
    </row>
    <row r="20" spans="1:11" x14ac:dyDescent="0.3">
      <c r="A20" t="str">
        <v>Scheduling Lead</v>
      </c>
      <c r="B20" t="str">
        <v>Program</v>
      </c>
      <c r="C20" t="str">
        <v>Program Controls</v>
      </c>
      <c r="D20">
        <v>0</v>
      </c>
      <c r="E20">
        <v>0.75</v>
      </c>
      <c r="F20">
        <v>0.5</v>
      </c>
      <c r="G20" s="45" cm="1">
        <f t="array" ref="G20">MIN(IF('Projects Adjusted'!$M:$M&lt;&gt;"", 'Projects Adjusted'!$M:$M))</f>
        <v>46178</v>
      </c>
      <c r="H20" s="45">
        <f>G20+('Program Resources'!$E$6*K20)</f>
        <v>46378.400000000001</v>
      </c>
      <c r="I20" s="45">
        <f>G20+(('Program Resources'!$E$6+'Program Resources'!$F$6)*K20)</f>
        <v>47981.599999999999</v>
      </c>
      <c r="J20" s="45" cm="1">
        <f t="array" ref="J20">MAX(IF('Projects Adjusted'!$Q:$Q&lt;&gt;"", 'Projects Adjusted'!$Q:$Q))</f>
        <v>48182</v>
      </c>
      <c r="K20">
        <f t="shared" si="0"/>
        <v>2004</v>
      </c>
    </row>
    <row r="21" spans="1:11" x14ac:dyDescent="0.3">
      <c r="A21" t="str">
        <v>Cost Controls Lead</v>
      </c>
      <c r="B21" t="str">
        <v>Program</v>
      </c>
      <c r="C21" t="str">
        <v>Program Controls</v>
      </c>
      <c r="D21">
        <v>0.5</v>
      </c>
      <c r="E21">
        <v>0.75</v>
      </c>
      <c r="F21">
        <v>0.5</v>
      </c>
      <c r="G21" s="45" cm="1">
        <f t="array" ref="G21">MIN(IF('Projects Adjusted'!$M:$M&lt;&gt;"", 'Projects Adjusted'!$M:$M))</f>
        <v>46178</v>
      </c>
      <c r="H21" s="45">
        <f>G21+('Program Resources'!$E$6*K21)</f>
        <v>46378.400000000001</v>
      </c>
      <c r="I21" s="45">
        <f>G21+(('Program Resources'!$E$6+'Program Resources'!$F$6)*K21)</f>
        <v>47981.599999999999</v>
      </c>
      <c r="J21" s="45" cm="1">
        <f t="array" ref="J21">MAX(IF('Projects Adjusted'!$Q:$Q&lt;&gt;"", 'Projects Adjusted'!$Q:$Q))</f>
        <v>48182</v>
      </c>
      <c r="K21">
        <f t="shared" si="0"/>
        <v>2004</v>
      </c>
    </row>
    <row r="22" spans="1:11" x14ac:dyDescent="0.3">
      <c r="A22" t="str">
        <v>Doc Controls Lead</v>
      </c>
      <c r="B22" t="str">
        <v>Program</v>
      </c>
      <c r="C22" t="str">
        <v>Program Controls</v>
      </c>
      <c r="D22">
        <v>0.5</v>
      </c>
      <c r="E22">
        <v>0.75</v>
      </c>
      <c r="F22">
        <v>0.5</v>
      </c>
      <c r="G22" s="45" cm="1">
        <f t="array" ref="G22">MIN(IF('Projects Adjusted'!$M:$M&lt;&gt;"", 'Projects Adjusted'!$M:$M))</f>
        <v>46178</v>
      </c>
      <c r="H22" s="45">
        <f>G22+('Program Resources'!$E$6*K22)</f>
        <v>46378.400000000001</v>
      </c>
      <c r="I22" s="45">
        <f>G22+(('Program Resources'!$E$6+'Program Resources'!$F$6)*K22)</f>
        <v>47981.599999999999</v>
      </c>
      <c r="J22" s="45" cm="1">
        <f t="array" ref="J22">MAX(IF('Projects Adjusted'!$Q:$Q&lt;&gt;"", 'Projects Adjusted'!$Q:$Q))</f>
        <v>48182</v>
      </c>
      <c r="K22">
        <f t="shared" si="0"/>
        <v>2004</v>
      </c>
    </row>
    <row r="23" spans="1:11" x14ac:dyDescent="0.3">
      <c r="A23" t="str">
        <v>PMO Manager</v>
      </c>
      <c r="B23" t="str">
        <v>Program</v>
      </c>
      <c r="C23" t="str">
        <v>Program Management</v>
      </c>
      <c r="D23">
        <v>0.25</v>
      </c>
      <c r="E23">
        <v>0.75</v>
      </c>
      <c r="F23">
        <v>0.5</v>
      </c>
      <c r="G23" s="45" cm="1">
        <f t="array" ref="G23">MIN(IF('Projects Adjusted'!$M:$M&lt;&gt;"", 'Projects Adjusted'!$M:$M))</f>
        <v>46178</v>
      </c>
      <c r="H23" s="45">
        <f>G23+('Program Resources'!$E$6*K23)</f>
        <v>46378.400000000001</v>
      </c>
      <c r="I23" s="45">
        <f>G23+(('Program Resources'!$E$6+'Program Resources'!$F$6)*K23)</f>
        <v>47981.599999999999</v>
      </c>
      <c r="J23" s="45" cm="1">
        <f t="array" ref="J23">MAX(IF('Projects Adjusted'!$Q:$Q&lt;&gt;"", 'Projects Adjusted'!$Q:$Q))</f>
        <v>48182</v>
      </c>
      <c r="K23">
        <f t="shared" si="0"/>
        <v>2004</v>
      </c>
    </row>
    <row r="24" spans="1:11" x14ac:dyDescent="0.3">
      <c r="A24" t="str">
        <v>QA/QC Lead</v>
      </c>
      <c r="B24" t="str">
        <v>Program</v>
      </c>
      <c r="C24" t="str">
        <v>Program Management</v>
      </c>
      <c r="D24">
        <v>0.25</v>
      </c>
      <c r="E24">
        <v>0.75</v>
      </c>
      <c r="F24">
        <v>0.5</v>
      </c>
      <c r="G24" s="45" cm="1">
        <f t="array" ref="G24">MIN(IF('Projects Adjusted'!$M:$M&lt;&gt;"", 'Projects Adjusted'!$M:$M))</f>
        <v>46178</v>
      </c>
      <c r="H24" s="45">
        <f>G24+('Program Resources'!$E$6*K24)</f>
        <v>46378.400000000001</v>
      </c>
      <c r="I24" s="45">
        <f>G24+(('Program Resources'!$E$6+'Program Resources'!$F$6)*K24)</f>
        <v>47981.599999999999</v>
      </c>
      <c r="J24" s="45" cm="1">
        <f t="array" ref="J24">MAX(IF('Projects Adjusted'!$Q:$Q&lt;&gt;"", 'Projects Adjusted'!$Q:$Q))</f>
        <v>48182</v>
      </c>
      <c r="K24">
        <f t="shared" si="0"/>
        <v>2004</v>
      </c>
    </row>
    <row r="25" spans="1:11" x14ac:dyDescent="0.3">
      <c r="A25" t="str">
        <v>Resourcing Lead</v>
      </c>
      <c r="B25" t="str">
        <v>Program</v>
      </c>
      <c r="C25" t="str">
        <v>Program Management</v>
      </c>
      <c r="D25">
        <v>0</v>
      </c>
      <c r="E25">
        <v>0</v>
      </c>
      <c r="F25">
        <v>0</v>
      </c>
      <c r="G25" s="45" cm="1">
        <f t="array" ref="G25">MIN(IF('Projects Adjusted'!$M:$M&lt;&gt;"", 'Projects Adjusted'!$M:$M))</f>
        <v>46178</v>
      </c>
      <c r="H25" s="45">
        <f>G25+('Program Resources'!$E$6*K25)</f>
        <v>46378.400000000001</v>
      </c>
      <c r="I25" s="45">
        <f>G25+(('Program Resources'!$E$6+'Program Resources'!$F$6)*K25)</f>
        <v>47981.599999999999</v>
      </c>
      <c r="J25" s="45" cm="1">
        <f t="array" ref="J25">MAX(IF('Projects Adjusted'!$Q:$Q&lt;&gt;"", 'Projects Adjusted'!$Q:$Q))</f>
        <v>48182</v>
      </c>
      <c r="K25">
        <f t="shared" si="0"/>
        <v>2004</v>
      </c>
    </row>
    <row r="26" spans="1:11" x14ac:dyDescent="0.3">
      <c r="A26" t="str">
        <v>Finance Lead</v>
      </c>
      <c r="B26" t="str">
        <v>Program</v>
      </c>
      <c r="C26" t="str">
        <v>Program Management</v>
      </c>
      <c r="D26">
        <v>0</v>
      </c>
      <c r="E26">
        <v>0</v>
      </c>
      <c r="F26">
        <v>0</v>
      </c>
      <c r="G26" s="45" cm="1">
        <f t="array" ref="G26">MIN(IF('Projects Adjusted'!$M:$M&lt;&gt;"", 'Projects Adjusted'!$M:$M))</f>
        <v>46178</v>
      </c>
      <c r="H26" s="45">
        <f>G26+('Program Resources'!$E$6*K26)</f>
        <v>46378.400000000001</v>
      </c>
      <c r="I26" s="45">
        <f>G26+(('Program Resources'!$E$6+'Program Resources'!$F$6)*K26)</f>
        <v>47981.599999999999</v>
      </c>
      <c r="J26" s="45" cm="1">
        <f t="array" ref="J26">MAX(IF('Projects Adjusted'!$Q:$Q&lt;&gt;"", 'Projects Adjusted'!$Q:$Q))</f>
        <v>48182</v>
      </c>
      <c r="K26">
        <f t="shared" si="0"/>
        <v>2004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B00EE6036F36418679C16C2F4E6A63" ma:contentTypeVersion="4" ma:contentTypeDescription="Create a new document." ma:contentTypeScope="" ma:versionID="1af0becae7dac7997c9dc4cb31dfa99c">
  <xsd:schema xmlns:xsd="http://www.w3.org/2001/XMLSchema" xmlns:xs="http://www.w3.org/2001/XMLSchema" xmlns:p="http://schemas.microsoft.com/office/2006/metadata/properties" xmlns:ns2="280b7ac4-ec89-4342-9b81-1dbaa9896fa5" targetNamespace="http://schemas.microsoft.com/office/2006/metadata/properties" ma:root="true" ma:fieldsID="b7e15c3d3a642e9ef9b3876b7cff4e32" ns2:_="">
    <xsd:import namespace="280b7ac4-ec89-4342-9b81-1dbaa9896f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0b7ac4-ec89-4342-9b81-1dbaa9896f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0B14B6-6ACE-42F1-9D8A-459CC5153C2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C847C16-9F7B-4208-9318-5252283896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D3F277-8257-4A09-92CE-56C068ACEA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0b7ac4-ec89-4342-9b81-1dbaa9896f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Instructions</vt:lpstr>
      <vt:lpstr>Projects</vt:lpstr>
      <vt:lpstr>Duration Table</vt:lpstr>
      <vt:lpstr>Program Resources</vt:lpstr>
      <vt:lpstr>Transmission and Distribution</vt:lpstr>
      <vt:lpstr>Substation</vt:lpstr>
      <vt:lpstr>Thermal</vt:lpstr>
      <vt:lpstr>Gas</vt:lpstr>
      <vt:lpstr>Wind</vt:lpstr>
      <vt:lpstr>Hydro</vt:lpstr>
      <vt:lpstr>Biomass</vt:lpstr>
      <vt:lpstr>Solar</vt:lpstr>
      <vt:lpstr>BESS</vt:lpstr>
      <vt:lpstr>New Archetype 1</vt:lpstr>
      <vt:lpstr>New Archetype 2</vt:lpstr>
      <vt:lpstr>Projects Adjusted</vt:lpstr>
      <vt:lpstr>All Resource Bases</vt:lpstr>
      <vt:lpstr>All Program Resources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Welsh, Tyler</dc:creator>
  <cp:keywords/>
  <dc:description/>
  <cp:lastModifiedBy>Welsh, Tyler</cp:lastModifiedBy>
  <cp:revision/>
  <dcterms:created xsi:type="dcterms:W3CDTF">2025-02-18T18:21:06Z</dcterms:created>
  <dcterms:modified xsi:type="dcterms:W3CDTF">2026-07-13T19:36:48Z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2025-02-18T18:21:29Z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e63fbf8e-3d34-4aca-a9bb-fea9e6578cbe</vt:lpwstr>
  </property>
  <property fmtid="{D5CDD505-2E9C-101B-9397-08002B2CF9AE}" pid="8" name="MSIP_Label_4c52bb78-b785-4d5a-8181-ae732e0da257_ContentBits">
    <vt:lpwstr>0</vt:lpwstr>
  </property>
  <property fmtid="{D5CDD505-2E9C-101B-9397-08002B2CF9AE}" pid="9" name="ContentTypeId">
    <vt:lpwstr>0x010100E7B00EE6036F36418679C16C2F4E6A63</vt:lpwstr>
  </property>
</Properties>
</file>